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3f159dedb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_HERE" sheetId="1" r:id="R8d66e4a8255c47bb"/>
    <x:sheet xmlns:r="http://schemas.openxmlformats.org/officeDocument/2006/relationships" name="01_FRONTEND_CHARTER" sheetId="2" r:id="R3924f59c35ad4fc0"/>
    <x:sheet xmlns:r="http://schemas.openxmlformats.org/officeDocument/2006/relationships" name="02_SOURCE_TRUTH_BRIDGE" sheetId="3" r:id="R2bb94b19df16419f"/>
    <x:sheet xmlns:r="http://schemas.openxmlformats.org/officeDocument/2006/relationships" name="03_CAPABILITY_MAP" sheetId="4" r:id="Re818c339d8e0434d"/>
    <x:sheet xmlns:r="http://schemas.openxmlformats.org/officeDocument/2006/relationships" name="04_PAGE_ARCHITECTURE" sheetId="5" r:id="R00aff19bdd5242d9"/>
    <x:sheet xmlns:r="http://schemas.openxmlformats.org/officeDocument/2006/relationships" name="05_DESIGN_TOKENS" sheetId="6" r:id="R45edd83ea51447d4"/>
    <x:sheet xmlns:r="http://schemas.openxmlformats.org/officeDocument/2006/relationships" name="06_COMPONENT_LIBRARY" sheetId="7" r:id="R5ee83307a4174dfb"/>
    <x:sheet xmlns:r="http://schemas.openxmlformats.org/officeDocument/2006/relationships" name="07_RESPONSIVE_RULES" sheetId="8" r:id="R2c2a549ed2ad44cd"/>
    <x:sheet xmlns:r="http://schemas.openxmlformats.org/officeDocument/2006/relationships" name="08_ACCESS_PERF_SEO" sheetId="9" r:id="R4afac9a323d64b7d"/>
    <x:sheet xmlns:r="http://schemas.openxmlformats.org/officeDocument/2006/relationships" name="09_MOTION_STATES" sheetId="10" r:id="R19afc019d73a47dc"/>
    <x:sheet xmlns:r="http://schemas.openxmlformats.org/officeDocument/2006/relationships" name="10_DATA_CONTRACTS" sheetId="11" r:id="Reefd83a755324e4c"/>
    <x:sheet xmlns:r="http://schemas.openxmlformats.org/officeDocument/2006/relationships" name="11_FORMS_CONVERSION" sheetId="12" r:id="Rc94d922f9df14587"/>
    <x:sheet xmlns:r="http://schemas.openxmlformats.org/officeDocument/2006/relationships" name="12_VERCEL_NEXT_RUNTIME" sheetId="13" r:id="Rd08b4db73efa4ca1"/>
    <x:sheet xmlns:r="http://schemas.openxmlformats.org/officeDocument/2006/relationships" name="13_SUPABASE_FRONTEND" sheetId="14" r:id="R423737e6a1cf465b"/>
    <x:sheet xmlns:r="http://schemas.openxmlformats.org/officeDocument/2006/relationships" name="14_GPT_FRONTEND_DIRECTIVES" sheetId="15" r:id="R18f95065944642a7"/>
    <x:sheet xmlns:r="http://schemas.openxmlformats.org/officeDocument/2006/relationships" name="15_CODEX_HANDOFF" sheetId="16" r:id="Rc4c595d3fa424511"/>
    <x:sheet xmlns:r="http://schemas.openxmlformats.org/officeDocument/2006/relationships" name="16_VALIDATION_MATRIX" sheetId="17" r:id="Rc3992e2401c7490b"/>
    <x:sheet xmlns:r="http://schemas.openxmlformats.org/officeDocument/2006/relationships" name="17_RECEIPTS_PROOF" sheetId="18" r:id="R51c36b00e9f94e87"/>
    <x:sheet xmlns:r="http://schemas.openxmlformats.org/officeDocument/2006/relationships" name="18_GAP_LEDGER" sheetId="19" r:id="R478e068374ca44d7"/>
    <x:sheet xmlns:r="http://schemas.openxmlformats.org/officeDocument/2006/relationships" name="19_SCORECARD" sheetId="20" r:id="Rbe2acb294a714c65"/>
    <x:sheet xmlns:r="http://schemas.openxmlformats.org/officeDocument/2006/relationships" name="20_FINAL_HANDOFF" sheetId="21" r:id="R3319c1e28d894e7a"/>
    <x:sheet xmlns:r="http://schemas.openxmlformats.org/officeDocument/2006/relationships" name="99_VALIDATION_LISTS" sheetId="22" r:id="R06c59b10a688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ACC1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0F19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2096f9d154c09" /><Relationship Type="http://schemas.openxmlformats.org/officeDocument/2006/relationships/theme" Target="/xl/theme/theme1.xml" Id="Ra0d08ea32ffc4e27" /><Relationship Type="http://schemas.openxmlformats.org/officeDocument/2006/relationships/sharedStrings" Target="/xl/sharedStrings.xml" Id="Ra049451123c94dea" /><Relationship Type="http://schemas.openxmlformats.org/officeDocument/2006/relationships/worksheet" Target="/xl/worksheets/sheet1.xml" Id="R8d66e4a8255c47bb" /><Relationship Type="http://schemas.openxmlformats.org/officeDocument/2006/relationships/worksheet" Target="/xl/worksheets/sheet2.xml" Id="R3924f59c35ad4fc0" /><Relationship Type="http://schemas.openxmlformats.org/officeDocument/2006/relationships/worksheet" Target="/xl/worksheets/sheet3.xml" Id="R2bb94b19df16419f" /><Relationship Type="http://schemas.openxmlformats.org/officeDocument/2006/relationships/worksheet" Target="/xl/worksheets/sheet4.xml" Id="Re818c339d8e0434d" /><Relationship Type="http://schemas.openxmlformats.org/officeDocument/2006/relationships/worksheet" Target="/xl/worksheets/sheet5.xml" Id="R00aff19bdd5242d9" /><Relationship Type="http://schemas.openxmlformats.org/officeDocument/2006/relationships/worksheet" Target="/xl/worksheets/sheet6.xml" Id="R45edd83ea51447d4" /><Relationship Type="http://schemas.openxmlformats.org/officeDocument/2006/relationships/worksheet" Target="/xl/worksheets/sheet7.xml" Id="R5ee83307a4174dfb" /><Relationship Type="http://schemas.openxmlformats.org/officeDocument/2006/relationships/worksheet" Target="/xl/worksheets/sheet8.xml" Id="R2c2a549ed2ad44cd" /><Relationship Type="http://schemas.openxmlformats.org/officeDocument/2006/relationships/worksheet" Target="/xl/worksheets/sheet9.xml" Id="R4afac9a323d64b7d" /><Relationship Type="http://schemas.openxmlformats.org/officeDocument/2006/relationships/worksheet" Target="/xl/worksheets/sheet10.xml" Id="R19afc019d73a47dc" /><Relationship Type="http://schemas.openxmlformats.org/officeDocument/2006/relationships/worksheet" Target="/xl/worksheets/sheet11.xml" Id="Reefd83a755324e4c" /><Relationship Type="http://schemas.openxmlformats.org/officeDocument/2006/relationships/worksheet" Target="/xl/worksheets/sheet12.xml" Id="Rc94d922f9df14587" /><Relationship Type="http://schemas.openxmlformats.org/officeDocument/2006/relationships/worksheet" Target="/xl/worksheets/sheet13.xml" Id="Rd08b4db73efa4ca1" /><Relationship Type="http://schemas.openxmlformats.org/officeDocument/2006/relationships/worksheet" Target="/xl/worksheets/sheet14.xml" Id="R423737e6a1cf465b" /><Relationship Type="http://schemas.openxmlformats.org/officeDocument/2006/relationships/worksheet" Target="/xl/worksheets/sheet15.xml" Id="R18f95065944642a7" /><Relationship Type="http://schemas.openxmlformats.org/officeDocument/2006/relationships/worksheet" Target="/xl/worksheets/sheet16.xml" Id="Rc4c595d3fa424511" /><Relationship Type="http://schemas.openxmlformats.org/officeDocument/2006/relationships/worksheet" Target="/xl/worksheets/sheet17.xml" Id="Rc3992e2401c7490b" /><Relationship Type="http://schemas.openxmlformats.org/officeDocument/2006/relationships/worksheet" Target="/xl/worksheets/sheet18.xml" Id="R51c36b00e9f94e87" /><Relationship Type="http://schemas.openxmlformats.org/officeDocument/2006/relationships/worksheet" Target="/xl/worksheets/sheet19.xml" Id="R478e068374ca44d7" /><Relationship Type="http://schemas.openxmlformats.org/officeDocument/2006/relationships/worksheet" Target="/xl/worksheets/sheet20.xml" Id="Rbe2acb294a714c65" /><Relationship Type="http://schemas.openxmlformats.org/officeDocument/2006/relationships/worksheet" Target="/xl/worksheets/sheet21.xml" Id="R3319c1e28d894e7a" /><Relationship Type="http://schemas.openxmlformats.org/officeDocument/2006/relationships/worksheet" Target="/xl/worksheets/sheet22.xml" Id="R06c59b10a6884402" /></Relationships>
</file>

<file path=xl/tables/table1.xml><?xml version="1.0" encoding="utf-8"?>
<x:table xmlns:x="http://schemas.openxmlformats.org/spreadsheetml/2006/main" id="1" name="StartHereTable" displayName="StartHereTable" ref="A5:B12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harterTable" displayName="CharterTable" ref="A5:B10" headerRowCount="1">
  <x:tableColumns count="2">
    <x:tableColumn id="1" name="Charter Item"/>
    <x:tableColumn id="2" name="Definition"/>
  </x:tableColumns>
  <x:tableStyleInfo name="TableStyleMedium2" showRowStripes="1"/>
</x:table>
</file>

<file path=xl/tables/table3.xml><?xml version="1.0" encoding="utf-8"?>
<x:table xmlns:x="http://schemas.openxmlformats.org/spreadsheetml/2006/main" id="3" name="SourceTruthBridgeTable" displayName="SourceTruthBridgeTable" ref="A5:G14" headerRowCount="1">
  <x:tableColumns count="7">
    <x:tableColumn id="1" name="rank"/>
    <x:tableColumn id="2" name="source"/>
    <x:tableColumn id="3" name="expected_path_or_input"/>
    <x:tableColumn id="4" name="required_before"/>
    <x:tableColumn id="5" name="frontend_use"/>
    <x:tableColumn id="6" name="status"/>
    <x:tableColumn id="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CapabilityMapTable" displayName="CapabilityMapTable" ref="A5:L15" headerRowCount="1">
  <x:tableColumns count="12">
    <x:tableColumn id="1" name="item_id"/>
    <x:tableColumn id="2" name="layer"/>
    <x:tableColumn id="3" name="capability"/>
    <x:tableColumn id="4" name="highest_ceiling_requirement"/>
    <x:tableColumn id="5" name="must_follow_workbook_rows"/>
    <x:tableColumn id="6" name="acceptance_criteria"/>
    <x:tableColumn id="7" name="validation_command"/>
    <x:tableColumn id="8" name="receipt_path"/>
    <x:tableColumn id="9" name="status"/>
    <x:tableColumn id="10" name="severity"/>
    <x:tableColumn id="11" name="owner"/>
    <x:tableColumn id="12" name="next_action"/>
  </x:tableColumns>
  <x:tableStyleInfo name="TableStyleMedium2" showRowStripes="1"/>
</x:table>
</file>

<file path=xl/tables/table5.xml><?xml version="1.0" encoding="utf-8"?>
<x:table xmlns:x="http://schemas.openxmlformats.org/spreadsheetml/2006/main" id="5" name="PageArchitectureTable" displayName="PageArchitectureTable" ref="A5:H11" headerRowCount="1">
  <x:tableColumns count="8">
    <x:tableColumn id="1" name="route_or_surface"/>
    <x:tableColumn id="2" name="purpose"/>
    <x:tableColumn id="3" name="required_sections"/>
    <x:tableColumn id="4" name="required_states"/>
    <x:tableColumn id="5" name="data_dependencies"/>
    <x:tableColumn id="6" name="owner"/>
    <x:tableColumn id="7" name="acceptance_criteria"/>
    <x:tableColumn id="8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DesignTokensTable" displayName="DesignTokensTable" ref="A5:F17" headerRowCount="1">
  <x:tableColumns count="6">
    <x:tableColumn id="1" name="token_group"/>
    <x:tableColumn id="2" name="token_name"/>
    <x:tableColumn id="3" name="value_or_rule"/>
    <x:tableColumn id="4" name="usage"/>
    <x:tableColumn id="5" name="validation"/>
    <x:tableColumn id="6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ComponentLibraryTable" displayName="ComponentLibraryTable" ref="A5:G15" headerRowCount="1">
  <x:tableColumns count="7">
    <x:tableColumn id="1" name="component"/>
    <x:tableColumn id="2" name="variants"/>
    <x:tableColumn id="3" name="required_states"/>
    <x:tableColumn id="4" name="data_props"/>
    <x:tableColumn id="5" name="acceptance_criteria"/>
    <x:tableColumn id="6" name="test_target"/>
    <x:tableColumn id="7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ResponsiveRulesTable" displayName="ResponsiveRulesTable" ref="A5:F10" headerRowCount="1">
  <x:tableColumns count="6">
    <x:tableColumn id="1" name="breakpoint"/>
    <x:tableColumn id="2" name="viewport"/>
    <x:tableColumn id="3" name="layout_rule"/>
    <x:tableColumn id="4" name="critical_checks"/>
    <x:tableColumn id="5" name="acceptance_criteria"/>
    <x:tableColumn id="6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AccessPerfSeoTable" displayName="AccessPerfSeoTable" ref="A5:F13" headerRowCount="1">
  <x:tableColumns count="6">
    <x:tableColumn id="1" name="gate"/>
    <x:tableColumn id="2" name="requirement"/>
    <x:tableColumn id="3" name="target"/>
    <x:tableColumn id="4" name="validation_method"/>
    <x:tableColumn id="5" name="release_impact"/>
    <x:tableColumn id="6" name="status"/>
  </x:tableColumns>
  <x:tableStyleInfo name="TableStyleMedium2" showRowStripes="1"/>
</x:table>
</file>

<file path=xl/tables/table10.xml><?xml version="1.0" encoding="utf-8"?>
<x:table xmlns:x="http://schemas.openxmlformats.org/spreadsheetml/2006/main" id="10" name="MotionStatesTable" displayName="MotionStatesTable" ref="A5:F11" headerRowCount="1">
  <x:tableColumns count="6">
    <x:tableColumn id="1" name="interaction"/>
    <x:tableColumn id="2" name="motion_rule"/>
    <x:tableColumn id="3" name="duration"/>
    <x:tableColumn id="4" name="reduced_motion_behavior"/>
    <x:tableColumn id="5" name="acceptance_criteria"/>
    <x:tableColumn id="6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DataContractsTable" displayName="DataContractsTable" ref="A5:I11" headerRowCount="1">
  <x:tableColumns count="9">
    <x:tableColumn id="1" name="ui_surface"/>
    <x:tableColumn id="2" name="data_needed"/>
    <x:tableColumn id="3" name="source_system"/>
    <x:tableColumn id="4" name="api_or_table"/>
    <x:tableColumn id="5" name="loading_state"/>
    <x:tableColumn id="6" name="empty_state"/>
    <x:tableColumn id="7" name="error_state"/>
    <x:tableColumn id="8" name="receipt_required"/>
    <x:tableColumn id="9" name="status"/>
  </x:tableColumns>
  <x:tableStyleInfo name="TableStyleMedium2" showRowStripes="1"/>
</x:table>
</file>

<file path=xl/tables/table12.xml><?xml version="1.0" encoding="utf-8"?>
<x:table xmlns:x="http://schemas.openxmlformats.org/spreadsheetml/2006/main" id="12" name="FormsConversionTable" displayName="FormsConversionTable" ref="A5:G10" headerRowCount="1">
  <x:tableColumns count="7">
    <x:tableColumn id="1" name="flow"/>
    <x:tableColumn id="2" name="fields_or_steps"/>
    <x:tableColumn id="3" name="required_states"/>
    <x:tableColumn id="4" name="validation"/>
    <x:tableColumn id="5" name="receipt"/>
    <x:tableColumn id="6" name="acceptance_criteria"/>
    <x:tableColumn id="7" name="status"/>
  </x:tableColumns>
  <x:tableStyleInfo name="TableStyleMedium2" showRowStripes="1"/>
</x:table>
</file>

<file path=xl/tables/table13.xml><?xml version="1.0" encoding="utf-8"?>
<x:table xmlns:x="http://schemas.openxmlformats.org/spreadsheetml/2006/main" id="13" name="VercelNextRuntimeTable" displayName="VercelNextRuntimeTable" ref="A5:F11" headerRowCount="1">
  <x:tableColumns count="6">
    <x:tableColumn id="1" name="runtime_item"/>
    <x:tableColumn id="2" name="requirement"/>
    <x:tableColumn id="3" name="validation_command"/>
    <x:tableColumn id="4" name="approval_needed"/>
    <x:tableColumn id="5" name="receipt_path"/>
    <x:tableColumn id="6" name="status"/>
  </x:tableColumns>
  <x:tableStyleInfo name="TableStyleMedium2" showRowStripes="1"/>
</x:table>
</file>

<file path=xl/tables/table14.xml><?xml version="1.0" encoding="utf-8"?>
<x:table xmlns:x="http://schemas.openxmlformats.org/spreadsheetml/2006/main" id="14" name="SupabaseFrontendTable" displayName="SupabaseFrontendTable" ref="A5:F10" headerRowCount="1">
  <x:tableColumns count="6">
    <x:tableColumn id="1" name="contract"/>
    <x:tableColumn id="2" name="frontend_requirement"/>
    <x:tableColumn id="3" name="backend_dependency"/>
    <x:tableColumn id="4" name="release_gate"/>
    <x:tableColumn id="5" name="receipt_path"/>
    <x:tableColumn id="6" name="status"/>
  </x:tableColumns>
  <x:tableStyleInfo name="TableStyleMedium2" showRowStripes="1"/>
</x:table>
</file>

<file path=xl/tables/table15.xml><?xml version="1.0" encoding="utf-8"?>
<x:table xmlns:x="http://schemas.openxmlformats.org/spreadsheetml/2006/main" id="15" name="GPTDirectivesTable" displayName="GPTDirectivesTable" ref="A5:E11" headerRowCount="1">
  <x:tableColumns count="5">
    <x:tableColumn id="1" name="directive_id"/>
    <x:tableColumn id="2" name="directive"/>
    <x:tableColumn id="3" name="required_behavior"/>
    <x:tableColumn id="4" name="failure_condition"/>
    <x:tableColumn id="5" name="status"/>
  </x:tableColumns>
  <x:tableStyleInfo name="TableStyleMedium2" showRowStripes="1"/>
</x:table>
</file>

<file path=xl/tables/table16.xml><?xml version="1.0" encoding="utf-8"?>
<x:table xmlns:x="http://schemas.openxmlformats.org/spreadsheetml/2006/main" id="16" name="CodexHandoffTable" displayName="CodexHandoffTable" ref="A5:B66" headerRowCount="1">
  <x:tableColumns count="2">
    <x:tableColumn id="1" name="line"/>
    <x:tableColumn id="2" name="prompt_text"/>
  </x:tableColumns>
  <x:tableStyleInfo name="TableStyleMedium2" showRowStripes="1"/>
</x:table>
</file>

<file path=xl/tables/table17.xml><?xml version="1.0" encoding="utf-8"?>
<x:table xmlns:x="http://schemas.openxmlformats.org/spreadsheetml/2006/main" id="17" name="ValidationMatrixTable" displayName="ValidationMatrixTable" ref="A5:G12" headerRowCount="1">
  <x:tableColumns count="7">
    <x:tableColumn id="1" name="validation_id"/>
    <x:tableColumn id="2" name="area"/>
    <x:tableColumn id="3" name="command"/>
    <x:tableColumn id="4" name="pass_condition"/>
    <x:tableColumn id="5" name="failure_means"/>
    <x:tableColumn id="6" name="receipt_path"/>
    <x:tableColumn id="7" name="status"/>
  </x:tableColumns>
  <x:tableStyleInfo name="TableStyleMedium2" showRowStripes="1"/>
</x:table>
</file>

<file path=xl/tables/table18.xml><?xml version="1.0" encoding="utf-8"?>
<x:table xmlns:x="http://schemas.openxmlformats.org/spreadsheetml/2006/main" id="18" name="ReceiptsProofTable" displayName="ReceiptsProofTable" ref="A5:G11" headerRowCount="1">
  <x:tableColumns count="7">
    <x:tableColumn id="1" name="receipt_id"/>
    <x:tableColumn id="2" name="claim_area"/>
    <x:tableColumn id="3" name="required_receipt_path"/>
    <x:tableColumn id="4" name="proof_type"/>
    <x:tableColumn id="5" name="owner"/>
    <x:tableColumn id="6" name="status"/>
    <x:tableColumn id="7" name="notes"/>
  </x:tableColumns>
  <x:tableStyleInfo name="TableStyleMedium2" showRowStripes="1"/>
</x:table>
</file>

<file path=xl/tables/table19.xml><?xml version="1.0" encoding="utf-8"?>
<x:table xmlns:x="http://schemas.openxmlformats.org/spreadsheetml/2006/main" id="19" name="FrontendGapLedgerTable" displayName="FrontendGapLedgerTable" ref="A5:M11" headerRowCount="1">
  <x:tableColumns count="13">
    <x:tableColumn id="1" name="gap_id"/>
    <x:tableColumn id="2" name="frontend_layer"/>
    <x:tableColumn id="3" name="item_name"/>
    <x:tableColumn id="4" name="highest_requirement"/>
    <x:tableColumn id="5" name="current_status"/>
    <x:tableColumn id="6" name="severity"/>
    <x:tableColumn id="7" name="evidence"/>
    <x:tableColumn id="8" name="missing_evidence"/>
    <x:tableColumn id="9" name="validation_command"/>
    <x:tableColumn id="10" name="receipt_path"/>
    <x:tableColumn id="11" name="owner"/>
    <x:tableColumn id="12" name="next_action"/>
    <x:tableColumn id="13" name="completion_status"/>
  </x:tableColumns>
  <x:tableStyleInfo name="TableStyleMedium2" showRowStripes="1"/>
</x:table>
</file>

<file path=xl/tables/table20.xml><?xml version="1.0" encoding="utf-8"?>
<x:table xmlns:x="http://schemas.openxmlformats.org/spreadsheetml/2006/main" id="20" name="ScorecardTable" displayName="ScorecardTable" ref="A5:C13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1.xml><?xml version="1.0" encoding="utf-8"?>
<x:table xmlns:x="http://schemas.openxmlformats.org/spreadsheetml/2006/main" id="21" name="FinalHandoffTable" displayName="FinalHandoffTable" ref="A5:B11" headerRowCount="1">
  <x:tableColumns count="2">
    <x:tableColumn id="1" name="Field"/>
    <x:tableColumn id="2" name="Instruction"/>
  </x:tableColumns>
  <x:tableStyleInfo name="TableStyleMedium2" showRowStripes="1"/>
</x:table>
</file>

<file path=xl/tables/table22.xml><?xml version="1.0" encoding="utf-8"?>
<x:table xmlns:x="http://schemas.openxmlformats.org/spreadsheetml/2006/main" id="22" name="ValidationListsTable" displayName="ValidationListsTable" ref="A5:B31" headerRowCount="1">
  <x:tableColumns count="2">
    <x:tableColumn id="1" name="list_name"/>
    <x:tableColumn id="2" name="allowed_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9d34666fc842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b3ee7229694a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207abd511e41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6eee04364d641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9c8d653cf4a44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80e0e4b00a64f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e54b41f63ce42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5f67979145e42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610af7adf3741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fd6f2f2b57248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a81ef26b523484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c4758f1e09b43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226d130bfd6403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ce9c179a483497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9a200752a62848b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d5fa3b1f18c488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242ca09aa9348a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bee11003678f4a0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555402f2fc0e4ab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3d186660f9084f9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8ded90d113d9480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599c3ae4b44417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</x:cols>
  <x:sheetData>
    <x:row r="1" ht="28" customHeight="1">
      <x:c r="A1" s="26" t="str">
        <x:v>AUTO BUILDER FRONTEND CEILING WORKBOOK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This workbook is the frontend command ledger. GPT, Codex, Base44, and human operators must use it together with the repo ceiling workbook before planning, building, or auditing frontend work.</x:v>
      </x:c>
    </x:row>
    <x:row r="5">
      <x:c r="A5" s="20" t="str">
        <x:v>Field</x:v>
      </x:c>
      <x:c r="B5" s="20" t="str">
        <x:v>Value</x:v>
      </x:c>
    </x:row>
    <x:row r="6">
      <x:c r="A6" s="13" t="str">
        <x:v>Purpose</x:v>
      </x:c>
      <x:c r="B6" s="13" t="str">
        <x:v>Force every frontend plan/build/audit to follow the same source-truth ceiling.</x:v>
      </x:c>
    </x:row>
    <x:row r="7">
      <x:c r="A7" s="13" t="str">
        <x:v>Primary repo</x:v>
      </x:c>
      <x:c r="B7" s="13" t="str">
        <x:v>Strategic-Minds/INTELLIGENCE-CUBE</x:v>
      </x:c>
    </x:row>
    <x:row r="8">
      <x:c r="A8" s="13" t="str">
        <x:v>Install path</x:v>
      </x:c>
      <x:c r="B8" s="13" t="str">
        <x:v>01_Builder_Docs/frontend-ceiling/AUTO_BUILDER_FRONTEND_CEILING_WORKBOOK.xlsx</x:v>
      </x:c>
    </x:row>
    <x:row r="9">
      <x:c r="A9" s="13" t="str">
        <x:v>Must be used with</x:v>
      </x:c>
      <x:c r="B9" s="13" t="str">
        <x:v>AUTO_BUILDER_HIGHEST_REPO_CEILING_ALL_IN_ONE_WORKBOOK.xlsx and/or the clean one-shot variant where visual rules are intentionally excluded.</x:v>
      </x:c>
    </x:row>
    <x:row r="10">
      <x:c r="A10" s="13" t="str">
        <x:v>Frontend scope</x:v>
      </x:c>
      <x:c r="B10" s="13" t="str">
        <x:v>Website, app, dashboard, admin portal, client portal, PWA, funnel, quote flow, visualizer UI, AI cockpit, component system, responsive layout, accessibility, performance, SEO, forms, state, API/data contracts.</x:v>
      </x:c>
    </x:row>
    <x:row r="11">
      <x:c r="A11" s="13" t="str">
        <x:v>Non-production status</x:v>
      </x:c>
      <x:c r="B11" s="13" t="str">
        <x:v>This workbook does not prove production readiness. Production remains locked until live receipts exist.</x:v>
      </x:c>
    </x:row>
    <x:row r="12">
      <x:c r="A12" s="13" t="str">
        <x:v>Required flow</x:v>
      </x:c>
      <x:c r="B12" s="13" t="str">
        <x:v>PLAN -&gt; DISCOVERY -&gt; OPTIONS -&gt; APPROVAL -&gt; DOCS -&gt; BUILD -&gt; VALIDATE -&gt; RELEASE GATE -&gt; OPERATE -&gt; RECURSIVE IMPROVEMENT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b29d34666fc842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</x:cols>
  <x:sheetData>
    <x:row r="1" ht="28" customHeight="1">
      <x:c r="A1" s="26" t="str">
        <x:v>Frontend Ceiling Charter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Defines the maximum technically realistic frontend state this repo can enforce.</x:v>
      </x:c>
    </x:row>
    <x:row r="5">
      <x:c r="A5" s="20" t="str">
        <x:v>Charter Item</x:v>
      </x:c>
      <x:c r="B5" s="20" t="str">
        <x:v>Definition</x:v>
      </x:c>
    </x:row>
    <x:row r="6">
      <x:c r="A6" s="13" t="str">
        <x:v>frontend_ceiling</x:v>
      </x:c>
      <x:c r="B6" s="13" t="str">
        <x:v>A deterministic, workbook-governed frontend system that converts source truth into premium UI, validated components, responsive states, accessibility, performance, data contracts, release gates, and receipts.</x:v>
      </x:c>
    </x:row>
    <x:row r="7">
      <x:c r="A7" s="13" t="str">
        <x:v>builder_contract</x:v>
      </x:c>
      <x:c r="B7" s="13" t="str">
        <x:v>No frontend task may proceed without a workbook row, acceptance criteria, validation command, and receipt path.</x:v>
      </x:c>
    </x:row>
    <x:row r="8">
      <x:c r="A8" s="13" t="str">
        <x:v>design_source_truth</x:v>
      </x:c>
      <x:c r="B8" s="13" t="str">
        <x:v>Use approved brand packs, screenshot/mockup packages, repo ceiling workbook, operator decisions, and this workbook in that order.</x:v>
      </x:c>
    </x:row>
    <x:row r="9">
      <x:c r="A9" s="13" t="str">
        <x:v>runtime_boundary</x:v>
      </x:c>
      <x:c r="B9" s="13" t="str">
        <x:v>This workbook can plan Vercel/Next runtime needs, but it does not deploy production.</x:v>
      </x:c>
    </x:row>
    <x:row r="10">
      <x:c r="A10" s="13" t="str">
        <x:v>success_definition</x:v>
      </x:c>
      <x:c r="B10" s="13" t="str">
        <x:v>The frontend is understandable, buildable, testable, screenshot-able, maintainable, accessible, responsive, and traceable back to source truth.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01b3ee7229694a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Source Truth Bridge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Defines what GPT/Codex must inspect before making frontend decisions.</x:v>
      </x:c>
    </x:row>
    <x:row r="5">
      <x:c r="A5" s="20" t="str">
        <x:v>rank</x:v>
      </x:c>
      <x:c r="B5" s="20" t="str">
        <x:v>source</x:v>
      </x:c>
      <x:c r="C5" s="20" t="str">
        <x:v>expected_path_or_input</x:v>
      </x:c>
      <x:c r="D5" s="20" t="str">
        <x:v>required_before</x:v>
      </x:c>
      <x:c r="E5" s="20" t="str">
        <x:v>frontend_use</x:v>
      </x:c>
      <x:c r="F5" s="20" t="str">
        <x:v>status</x:v>
      </x:c>
      <x:c r="G5" s="20" t="str">
        <x:v>notes</x:v>
      </x:c>
    </x:row>
    <x:row r="6">
      <x:c r="A6" s="13" t="n">
        <x:v>1</x:v>
      </x:c>
      <x:c r="B6" s="13" t="str">
        <x:v>Frontend Ceiling Workbook</x:v>
      </x:c>
      <x:c r="C6" s="13" t="str">
        <x:v>01_Builder_Docs/frontend-ceiling/AUTO_BUILDER_FRONTEND_CEILING_WORKBOOK.xlsx</x:v>
      </x:c>
      <x:c r="D6" s="13" t="str">
        <x:v>any frontend plan/build/audit</x:v>
      </x:c>
      <x:c r="E6" s="13" t="str">
        <x:v>Primary frontend ledger</x:v>
      </x:c>
      <x:c r="F6" s="13" t="str">
        <x:v>required</x:v>
      </x:c>
      <x:c r="G6" s="13" t="str">
        <x:v>This workbook decides frontend scope and acceptance.</x:v>
      </x:c>
    </x:row>
    <x:row r="7">
      <x:c r="A7" s="13" t="n">
        <x:v>2</x:v>
      </x:c>
      <x:c r="B7" s="13" t="str">
        <x:v>Highest Repo Ceiling All-In-One</x:v>
      </x:c>
      <x:c r="C7" s="13" t="str">
        <x:v>01_Builder_Docs/highest-repo-ceiling-all-in-one/AUTO_BUILDER_HIGHEST_REPO_CEILING_ALL_IN_ONE_WORKBOOK.xlsx</x:v>
      </x:c>
      <x:c r="D7" s="13" t="str">
        <x:v>repo strategy</x:v>
      </x:c>
      <x:c r="E7" s="13" t="str">
        <x:v>Main repo ceiling and governance context</x:v>
      </x:c>
      <x:c r="F7" s="13" t="str">
        <x:v>required</x:v>
      </x:c>
      <x:c r="G7" s="13" t="str">
        <x:v>Main candidate for INTELLIGENCE-CUBE source truth.</x:v>
      </x:c>
    </x:row>
    <x:row r="8">
      <x:c r="A8" s="13" t="n">
        <x:v>3</x:v>
      </x:c>
      <x:c r="B8" s="13" t="str">
        <x:v>Clean One-Shot Variant</x:v>
      </x:c>
      <x:c r="C8" s="13" t="str">
        <x:v>01_Builder_Docs/highest-repo-ceiling-one-shot/</x:v>
      </x:c>
      <x:c r="D8" s="13" t="str">
        <x:v>when no visual/screenshot logic allowed</x:v>
      </x:c>
      <x:c r="E8" s="13" t="str">
        <x:v>Specialized no-visual-parity workbook</x:v>
      </x:c>
      <x:c r="F8" s="13" t="str">
        <x:v>conditional</x:v>
      </x:c>
      <x:c r="G8" s="13" t="str">
        <x:v>Use only when operator explicitly excludes visual parity/screenshot rules.</x:v>
      </x:c>
    </x:row>
    <x:row r="9">
      <x:c r="A9" s="13" t="n">
        <x:v>4</x:v>
      </x:c>
      <x:c r="B9" s="13" t="str">
        <x:v>Root README</x:v>
      </x:c>
      <x:c r="C9" s="13" t="str">
        <x:v>README.md</x:v>
      </x:c>
      <x:c r="D9" s="13" t="str">
        <x:v>before repo docs edits</x:v>
      </x:c>
      <x:c r="E9" s="13" t="str">
        <x:v>Repo front door</x:v>
      </x:c>
      <x:c r="F9" s="13" t="str">
        <x:v>required</x:v>
      </x:c>
      <x:c r="G9" s="13" t="str">
        <x:v>Must explain workbook variants after merge.</x:v>
      </x:c>
    </x:row>
    <x:row r="10">
      <x:c r="A10" s="13" t="n">
        <x:v>5</x:v>
      </x:c>
      <x:c r="B10" s="13" t="str">
        <x:v>WORKBOOK_OS_MANIFEST</x:v>
      </x:c>
      <x:c r="C10" s="13" t="str">
        <x:v>WORKBOOK_OS_MANIFEST.json</x:v>
      </x:c>
      <x:c r="D10" s="13" t="str">
        <x:v>before manifest edits</x:v>
      </x:c>
      <x:c r="E10" s="13" t="str">
        <x:v>Workbook registry and source ranks</x:v>
      </x:c>
      <x:c r="F10" s="13" t="str">
        <x:v>required</x:v>
      </x:c>
      <x:c r="G10" s="13" t="str">
        <x:v>Must include this workbook after install.</x:v>
      </x:c>
    </x:row>
    <x:row r="11">
      <x:c r="A11" s="13" t="n">
        <x:v>6</x:v>
      </x:c>
      <x:c r="B11" s="13" t="str">
        <x:v>App source</x:v>
      </x:c>
      <x:c r="C11" s="13" t="str">
        <x:v>app/*, pages/*, components/*, lib/*</x:v>
      </x:c>
      <x:c r="D11" s="13" t="str">
        <x:v>before code change</x:v>
      </x:c>
      <x:c r="E11" s="13" t="str">
        <x:v>Frontend implementation target</x:v>
      </x:c>
      <x:c r="F11" s="13" t="str">
        <x:v>required if present</x:v>
      </x:c>
      <x:c r="G11" s="13" t="str">
        <x:v>Classify absent as missing, not failure.</x:v>
      </x:c>
    </x:row>
    <x:row r="12">
      <x:c r="A12" s="13" t="n">
        <x:v>7</x:v>
      </x:c>
      <x:c r="B12" s="13" t="str">
        <x:v>Vercel config</x:v>
      </x:c>
      <x:c r="C12" s="13" t="str">
        <x:v>vercel.json, .vercel/project.json</x:v>
      </x:c>
      <x:c r="D12" s="13" t="str">
        <x:v>before deploy planning</x:v>
      </x:c>
      <x:c r="E12" s="13" t="str">
        <x:v>Runtime/deploy shape</x:v>
      </x:c>
      <x:c r="F12" s="13" t="str">
        <x:v>required if present</x:v>
      </x:c>
      <x:c r="G12" s="13" t="str">
        <x:v>Do not deploy without operator approval.</x:v>
      </x:c>
    </x:row>
    <x:row r="13">
      <x:c r="A13" s="13" t="n">
        <x:v>8</x:v>
      </x:c>
      <x:c r="B13" s="13" t="str">
        <x:v>Supabase contracts</x:v>
      </x:c>
      <x:c r="C13" s="13" t="str">
        <x:v>supabase/schema.sql, lib/supabase*</x:v>
      </x:c>
      <x:c r="D13" s="13" t="str">
        <x:v>before data UI</x:v>
      </x:c>
      <x:c r="E13" s="13" t="str">
        <x:v>Data/auth contracts</x:v>
      </x:c>
      <x:c r="F13" s="13" t="str">
        <x:v>required if present</x:v>
      </x:c>
      <x:c r="G13" s="13" t="str">
        <x:v>Do not fake RLS readiness.</x:v>
      </x:c>
    </x:row>
    <x:row r="14">
      <x:c r="A14" s="13" t="n">
        <x:v>9</x:v>
      </x:c>
      <x:c r="B14" s="13" t="str">
        <x:v>Receipts</x:v>
      </x:c>
      <x:c r="C14" s="13" t="str">
        <x:v>03_Bridge_Receipts/*</x:v>
      </x:c>
      <x:c r="D14" s="13" t="str">
        <x:v>before readiness claim</x:v>
      </x:c>
      <x:c r="E14" s="13" t="str">
        <x:v>Proof and rollback</x:v>
      </x:c>
      <x:c r="F14" s="13" t="str">
        <x:v>required</x:v>
      </x:c>
      <x:c r="G14" s="13" t="str">
        <x:v>All claims must map to receipts.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8d207abd511e416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26" t="str">
        <x:v>Frontend Capability Map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All major frontend capabilities this workbook can govern.</x:v>
      </x:c>
    </x:row>
    <x:row r="5">
      <x:c r="A5" s="20" t="str">
        <x:v>item_id</x:v>
      </x:c>
      <x:c r="B5" s="20" t="str">
        <x:v>layer</x:v>
      </x:c>
      <x:c r="C5" s="20" t="str">
        <x:v>capability</x:v>
      </x:c>
      <x:c r="D5" s="20" t="str">
        <x:v>highest_ceiling_requirement</x:v>
      </x:c>
      <x:c r="E5" s="20" t="str">
        <x:v>must_follow_workbook_rows</x:v>
      </x:c>
      <x:c r="F5" s="20" t="str">
        <x:v>acceptance_criteria</x:v>
      </x:c>
      <x:c r="G5" s="20" t="str">
        <x:v>validation_command</x:v>
      </x:c>
      <x:c r="H5" s="20" t="str">
        <x:v>receipt_path</x:v>
      </x:c>
      <x:c r="I5" s="20" t="str">
        <x:v>status</x:v>
      </x:c>
      <x:c r="J5" s="20" t="str">
        <x:v>severity</x:v>
      </x:c>
      <x:c r="K5" s="20" t="str">
        <x:v>owner</x:v>
      </x:c>
      <x:c r="L5" s="20" t="str">
        <x:v>next_action</x:v>
      </x:c>
    </x:row>
    <x:row r="6">
      <x:c r="A6" s="13" t="str">
        <x:v>FC-001</x:v>
      </x:c>
      <x:c r="B6" s="13" t="str">
        <x:v>Architecture</x:v>
      </x:c>
      <x:c r="C6" s="13" t="str">
        <x:v>Next.js/App Router readiness</x:v>
      </x:c>
      <x:c r="D6" s="13" t="str">
        <x:v>Clear app shell, routing, layouts, metadata, loading/error states, and deployment boundaries.</x:v>
      </x:c>
      <x:c r="E6" s="13" t="str">
        <x:v>02,04,12</x:v>
      </x:c>
      <x:c r="F6" s="13" t="str">
        <x:v>Routes documented, layouts defined, error/loading states present.</x:v>
      </x:c>
      <x:c r="G6" s="13" t="str">
        <x:v>npm run build</x:v>
      </x:c>
      <x:c r="H6" s="13" t="str">
        <x:v>03_Bridge_Receipts/frontend/ARCHITECTURE_RECEIPT.md</x:v>
      </x:c>
      <x:c r="I6" s="13" t="str">
        <x:v>planned</x:v>
      </x:c>
      <x:c r="J6" s="13" t="str">
        <x:v>P0_release_blocker</x:v>
      </x:c>
      <x:c r="K6" s="13" t="str">
        <x:v>Frontend Owner</x:v>
      </x:c>
      <x:c r="L6" s="13" t="str">
        <x:v>Map repo routes and missing shell files.</x:v>
      </x:c>
    </x:row>
    <x:row r="7">
      <x:c r="A7" s="13" t="str">
        <x:v>FC-002</x:v>
      </x:c>
      <x:c r="B7" s="13" t="str">
        <x:v>Design System</x:v>
      </x:c>
      <x:c r="C7" s="13" t="str">
        <x:v>Tokens and theme</x:v>
      </x:c>
      <x:c r="D7" s="13" t="str">
        <x:v>Colors, typography, spacing, radii, shadows, z-index, motion tokens, and usage rules.</x:v>
      </x:c>
      <x:c r="E7" s="13" t="str">
        <x:v>05</x:v>
      </x:c>
      <x:c r="F7" s="13" t="str">
        <x:v>Tokens exist and are consumed by components.</x:v>
      </x:c>
      <x:c r="G7" s="13" t="str">
        <x:v>npm run test:design-system if present</x:v>
      </x:c>
      <x:c r="H7" s="13" t="str">
        <x:v>03_Bridge_Receipts/frontend/DESIGN_SYSTEM_RECEIPT.md</x:v>
      </x:c>
      <x:c r="I7" s="13" t="str">
        <x:v>planned</x:v>
      </x:c>
      <x:c r="J7" s="13" t="str">
        <x:v>P0_release_blocker</x:v>
      </x:c>
      <x:c r="K7" s="13" t="str">
        <x:v>Design System Owner</x:v>
      </x:c>
      <x:c r="L7" s="13" t="str">
        <x:v>Create/validate token contract.</x:v>
      </x:c>
    </x:row>
    <x:row r="8">
      <x:c r="A8" s="13" t="str">
        <x:v>FC-003</x:v>
      </x:c>
      <x:c r="B8" s="13" t="str">
        <x:v>Components</x:v>
      </x:c>
      <x:c r="C8" s="13" t="str">
        <x:v>Reusable UI kit</x:v>
      </x:c>
      <x:c r="D8" s="13" t="str">
        <x:v>Buttons, cards, forms, nav, modals, tables, dashboards, badges, tabs, steppers, uploaders, command palette.</x:v>
      </x:c>
      <x:c r="E8" s="13" t="str">
        <x:v>06</x:v>
      </x:c>
      <x:c r="F8" s="13" t="str">
        <x:v>Components documented with variants and states.</x:v>
      </x:c>
      <x:c r="G8" s="13" t="str">
        <x:v>npm run storybook:build if present</x:v>
      </x:c>
      <x:c r="H8" s="13" t="str">
        <x:v>03_Bridge_Receipts/frontend/COMPONENT_RECEIPT.md</x:v>
      </x:c>
      <x:c r="I8" s="13" t="str">
        <x:v>planned</x:v>
      </x:c>
      <x:c r="J8" s="13" t="str">
        <x:v>P1_high</x:v>
      </x:c>
      <x:c r="K8" s="13" t="str">
        <x:v>Frontend Owner</x:v>
      </x:c>
      <x:c r="L8" s="13" t="str">
        <x:v>Inventory existing components.</x:v>
      </x:c>
    </x:row>
    <x:row r="9">
      <x:c r="A9" s="13" t="str">
        <x:v>FC-004</x:v>
      </x:c>
      <x:c r="B9" s="13" t="str">
        <x:v>Responsive UX</x:v>
      </x:c>
      <x:c r="C9" s="13" t="str">
        <x:v>Mobile/tablet/desktop</x:v>
      </x:c>
      <x:c r="D9" s="13" t="str">
        <x:v>Breakpoints, sticky CTAs, safe zones, grids, viewport testing, touch states.</x:v>
      </x:c>
      <x:c r="E9" s="13" t="str">
        <x:v>07</x:v>
      </x:c>
      <x:c r="F9" s="13" t="str">
        <x:v>Validated at mobile, tablet, desktop widths.</x:v>
      </x:c>
      <x:c r="G9" s="13" t="str">
        <x:v>npx playwright test responsive.spec.ts</x:v>
      </x:c>
      <x:c r="H9" s="13" t="str">
        <x:v>03_Bridge_Receipts/frontend/RESPONSIVE_RECEIPT.md</x:v>
      </x:c>
      <x:c r="I9" s="13" t="str">
        <x:v>planned</x:v>
      </x:c>
      <x:c r="J9" s="13" t="str">
        <x:v>P0_release_blocker</x:v>
      </x:c>
      <x:c r="K9" s="13" t="str">
        <x:v>QA Owner</x:v>
      </x:c>
      <x:c r="L9" s="13" t="str">
        <x:v>Create responsive test matrix.</x:v>
      </x:c>
    </x:row>
    <x:row r="10">
      <x:c r="A10" s="13" t="str">
        <x:v>FC-005</x:v>
      </x:c>
      <x:c r="B10" s="13" t="str">
        <x:v>Accessibility</x:v>
      </x:c>
      <x:c r="C10" s="13" t="str">
        <x:v>WCAG-oriented UI</x:v>
      </x:c>
      <x:c r="D10" s="13" t="str">
        <x:v>Semantic landmarks, labels, keyboard states, focus rings, contrast, reduced motion.</x:v>
      </x:c>
      <x:c r="E10" s="13" t="str">
        <x:v>08</x:v>
      </x:c>
      <x:c r="F10" s="13" t="str">
        <x:v>No critical a11y blockers.</x:v>
      </x:c>
      <x:c r="G10" s="13" t="str">
        <x:v>npm run test:a11y if present</x:v>
      </x:c>
      <x:c r="H10" s="13" t="str">
        <x:v>03_Bridge_Receipts/frontend/A11Y_RECEIPT.md</x:v>
      </x:c>
      <x:c r="I10" s="13" t="str">
        <x:v>planned</x:v>
      </x:c>
      <x:c r="J10" s="13" t="str">
        <x:v>P0_release_blocker</x:v>
      </x:c>
      <x:c r="K10" s="13" t="str">
        <x:v>QA Owner</x:v>
      </x:c>
      <x:c r="L10" s="13" t="str">
        <x:v>Add a11y checklist and test command.</x:v>
      </x:c>
    </x:row>
    <x:row r="11">
      <x:c r="A11" s="13" t="str">
        <x:v>FC-006</x:v>
      </x:c>
      <x:c r="B11" s="13" t="str">
        <x:v>Performance</x:v>
      </x:c>
      <x:c r="C11" s="13" t="str">
        <x:v>Core web vitals discipline</x:v>
      </x:c>
      <x:c r="D11" s="13" t="str">
        <x:v>Image strategy, lazy loading, bundle hygiene, route budgets, caching notes.</x:v>
      </x:c>
      <x:c r="E11" s="13" t="str">
        <x:v>08,12</x:v>
      </x:c>
      <x:c r="F11" s="13" t="str">
        <x:v>Performance budget defined and checked.</x:v>
      </x:c>
      <x:c r="G11" s="13" t="str">
        <x:v>npm run build &amp;&amp; npm run analyze if present</x:v>
      </x:c>
      <x:c r="H11" s="13" t="str">
        <x:v>03_Bridge_Receipts/frontend/PERFORMANCE_RECEIPT.md</x:v>
      </x:c>
      <x:c r="I11" s="13" t="str">
        <x:v>planned</x:v>
      </x:c>
      <x:c r="J11" s="13" t="str">
        <x:v>P1_high</x:v>
      </x:c>
      <x:c r="K11" s="13" t="str">
        <x:v>Performance Owner</x:v>
      </x:c>
      <x:c r="L11" s="13" t="str">
        <x:v>Define budgets.</x:v>
      </x:c>
    </x:row>
    <x:row r="12">
      <x:c r="A12" s="13" t="str">
        <x:v>FC-007</x:v>
      </x:c>
      <x:c r="B12" s="13" t="str">
        <x:v>Conversion</x:v>
      </x:c>
      <x:c r="C12" s="13" t="str">
        <x:v>Forms and CTAs</x:v>
      </x:c>
      <x:c r="D12" s="13" t="str">
        <x:v>CTA map, funnel logic, form states, validation, lead routing, confirmation states.</x:v>
      </x:c>
      <x:c r="E12" s="13" t="str">
        <x:v>11</x:v>
      </x:c>
      <x:c r="F12" s="13" t="str">
        <x:v>Every conversion path has success/error/loading states.</x:v>
      </x:c>
      <x:c r="G12" s="13" t="str">
        <x:v>npx playwright test forms.spec.ts</x:v>
      </x:c>
      <x:c r="H12" s="13" t="str">
        <x:v>03_Bridge_Receipts/frontend/CONVERSION_RECEIPT.md</x:v>
      </x:c>
      <x:c r="I12" s="13" t="str">
        <x:v>planned</x:v>
      </x:c>
      <x:c r="J12" s="13" t="str">
        <x:v>P0_release_blocker</x:v>
      </x:c>
      <x:c r="K12" s="13" t="str">
        <x:v>Growth Owner</x:v>
      </x:c>
      <x:c r="L12" s="13" t="str">
        <x:v>Create conversion map.</x:v>
      </x:c>
    </x:row>
    <x:row r="13">
      <x:c r="A13" s="13" t="str">
        <x:v>FC-008</x:v>
      </x:c>
      <x:c r="B13" s="13" t="str">
        <x:v>Data Contracts</x:v>
      </x:c>
      <x:c r="C13" s="13" t="str">
        <x:v>API/data dependency map</x:v>
      </x:c>
      <x:c r="D13" s="13" t="str">
        <x:v>Every UI data dependency maps to API route, schema, fallback, empty/error state.</x:v>
      </x:c>
      <x:c r="E13" s="13" t="str">
        <x:v>10,13</x:v>
      </x:c>
      <x:c r="F13" s="13" t="str">
        <x:v>No UI depends on undefined data.</x:v>
      </x:c>
      <x:c r="G13" s="13" t="str">
        <x:v>npm run test:contracts if present</x:v>
      </x:c>
      <x:c r="H13" s="13" t="str">
        <x:v>03_Bridge_Receipts/frontend/DATA_CONTRACT_RECEIPT.md</x:v>
      </x:c>
      <x:c r="I13" s="13" t="str">
        <x:v>planned</x:v>
      </x:c>
      <x:c r="J13" s="13" t="str">
        <x:v>P0_release_blocker</x:v>
      </x:c>
      <x:c r="K13" s="13" t="str">
        <x:v>Backend Owner</x:v>
      </x:c>
      <x:c r="L13" s="13" t="str">
        <x:v>Map UI data contracts.</x:v>
      </x:c>
    </x:row>
    <x:row r="14">
      <x:c r="A14" s="13" t="str">
        <x:v>FC-009</x:v>
      </x:c>
      <x:c r="B14" s="13" t="str">
        <x:v>Motion</x:v>
      </x:c>
      <x:c r="C14" s="13" t="str">
        <x:v>Interaction system</x:v>
      </x:c>
      <x:c r="D14" s="13" t="str">
        <x:v>Hover, press, loading, page transitions, reduced motion behavior.</x:v>
      </x:c>
      <x:c r="E14" s="13" t="str">
        <x:v>09</x:v>
      </x:c>
      <x:c r="F14" s="13" t="str">
        <x:v>Motion clarifies UX and reduced-motion exists.</x:v>
      </x:c>
      <x:c r="G14" s="13" t="str">
        <x:v>npx playwright test motion.spec.ts</x:v>
      </x:c>
      <x:c r="H14" s="13" t="str">
        <x:v>03_Bridge_Receipts/frontend/MOTION_RECEIPT.md</x:v>
      </x:c>
      <x:c r="I14" s="13" t="str">
        <x:v>planned</x:v>
      </x:c>
      <x:c r="J14" s="13" t="str">
        <x:v>P2_medium</x:v>
      </x:c>
      <x:c r="K14" s="13" t="str">
        <x:v>Frontend Owner</x:v>
      </x:c>
      <x:c r="L14" s="13" t="str">
        <x:v>Create motion token map.</x:v>
      </x:c>
    </x:row>
    <x:row r="15">
      <x:c r="A15" s="13" t="str">
        <x:v>FC-010</x:v>
      </x:c>
      <x:c r="B15" s="13" t="str">
        <x:v>Release Gate</x:v>
      </x:c>
      <x:c r="C15" s="13" t="str">
        <x:v>Frontend release readiness</x:v>
      </x:c>
      <x:c r="D15" s="13" t="str">
        <x:v>Proof index, validation matrix, rollback notes, operator approval state.</x:v>
      </x:c>
      <x:c r="E15" s="13" t="str">
        <x:v>16,17,19</x:v>
      </x:c>
      <x:c r="F15" s="13" t="str">
        <x:v>Release status computed from proof, not opinion.</x:v>
      </x:c>
      <x:c r="G15" s="13" t="str">
        <x:v>python scripts/frontend_ceiling_validator.py</x:v>
      </x:c>
      <x:c r="H15" s="13" t="str">
        <x:v>03_Bridge_Receipts/frontend/RELEASE_GATE_RECEIPT.md</x:v>
      </x:c>
      <x:c r="I15" s="13" t="str">
        <x:v>planned</x:v>
      </x:c>
      <x:c r="J15" s="13" t="str">
        <x:v>P0_release_blocker</x:v>
      </x:c>
      <x:c r="K15" s="13" t="str">
        <x:v>Release Owner</x:v>
      </x:c>
      <x:c r="L15" s="13" t="str">
        <x:v>Install validator.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e6eee04364d6419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26" t="str">
        <x:v>Page and App Architecture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Defines frontend route/page/app-shell ceiling.</x:v>
      </x:c>
    </x:row>
    <x:row r="5">
      <x:c r="A5" s="20" t="str">
        <x:v>route_or_surface</x:v>
      </x:c>
      <x:c r="B5" s="20" t="str">
        <x:v>purpose</x:v>
      </x:c>
      <x:c r="C5" s="20" t="str">
        <x:v>required_sections</x:v>
      </x:c>
      <x:c r="D5" s="20" t="str">
        <x:v>required_states</x:v>
      </x:c>
      <x:c r="E5" s="20" t="str">
        <x:v>data_dependencies</x:v>
      </x:c>
      <x:c r="F5" s="20" t="str">
        <x:v>owner</x:v>
      </x:c>
      <x:c r="G5" s="20" t="str">
        <x:v>acceptance_criteria</x:v>
      </x:c>
      <x:c r="H5" s="20" t="str">
        <x:v>status</x:v>
      </x:c>
    </x:row>
    <x:row r="6">
      <x:c r="A6" s="13" t="str">
        <x:v>Home / Landing</x:v>
      </x:c>
      <x:c r="B6" s="13" t="str">
        <x:v>Primary conversion and trust surface</x:v>
      </x:c>
      <x:c r="C6" s="13" t="str">
        <x:v>Hero, proof, offer, service/product path, process, FAQ, CTA</x:v>
      </x:c>
      <x:c r="D6" s="13" t="str">
        <x:v>loading, empty, error where dynamic</x:v>
      </x:c>
      <x:c r="E6" s="13" t="str">
        <x:v>content config, testimonials, offers</x:v>
      </x:c>
      <x:c r="F6" s="13" t="str">
        <x:v>Frontend/Growth</x:v>
      </x:c>
      <x:c r="G6" s="13" t="str">
        <x:v>Mobile-first and CTA-visible within first screen</x:v>
      </x:c>
      <x:c r="H6" s="13" t="str">
        <x:v>planned</x:v>
      </x:c>
    </x:row>
    <x:row r="7">
      <x:c r="A7" s="13" t="str">
        <x:v>Admin Dashboard</x:v>
      </x:c>
      <x:c r="B7" s="13" t="str">
        <x:v>Operator control plane</x:v>
      </x:c>
      <x:c r="C7" s="13" t="str">
        <x:v>KPI cards, queue, approvals, receipts, blockers, logs</x:v>
      </x:c>
      <x:c r="D7" s="13" t="str">
        <x:v>loading, empty, error, unauthorized</x:v>
      </x:c>
      <x:c r="E7" s="13" t="str">
        <x:v>Supabase queues, receipt tables</x:v>
      </x:c>
      <x:c r="F7" s="13" t="str">
        <x:v>Frontend/Ops</x:v>
      </x:c>
      <x:c r="G7" s="13" t="str">
        <x:v>No fake metrics; source/confidence shown</x:v>
      </x:c>
      <x:c r="H7" s="13" t="str">
        <x:v>planned</x:v>
      </x:c>
    </x:row>
    <x:row r="8">
      <x:c r="A8" s="13" t="str">
        <x:v>Client Portal</x:v>
      </x:c>
      <x:c r="B8" s="13" t="str">
        <x:v>Client progress and approvals</x:v>
      </x:c>
      <x:c r="C8" s="13" t="str">
        <x:v>Project status, uploads, approvals, messages, invoices if applicable</x:v>
      </x:c>
      <x:c r="D8" s="13" t="str">
        <x:v>loading, empty, error, auth denied</x:v>
      </x:c>
      <x:c r="E8" s="13" t="str">
        <x:v>auth, project table, files</x:v>
      </x:c>
      <x:c r="F8" s="13" t="str">
        <x:v>Frontend/Product</x:v>
      </x:c>
      <x:c r="G8" s="13" t="str">
        <x:v>Client can understand next step without support call</x:v>
      </x:c>
      <x:c r="H8" s="13" t="str">
        <x:v>planned</x:v>
      </x:c>
    </x:row>
    <x:row r="9">
      <x:c r="A9" s="13" t="str">
        <x:v>Quote / Intake Flow</x:v>
      </x:c>
      <x:c r="B9" s="13" t="str">
        <x:v>Lead capture and qualification</x:v>
      </x:c>
      <x:c r="C9" s="13" t="str">
        <x:v>Step form, uploads, measurements, service picker, consent</x:v>
      </x:c>
      <x:c r="D9" s="13" t="str">
        <x:v>validation, upload fail, success</x:v>
      </x:c>
      <x:c r="E9" s="13" t="str">
        <x:v>storage, CRM/lead API</x:v>
      </x:c>
      <x:c r="F9" s="13" t="str">
        <x:v>Frontend/Growth</x:v>
      </x:c>
      <x:c r="G9" s="13" t="str">
        <x:v>Form never dead-ends; receipt created</x:v>
      </x:c>
      <x:c r="H9" s="13" t="str">
        <x:v>planned</x:v>
      </x:c>
    </x:row>
    <x:row r="10">
      <x:c r="A10" s="13" t="str">
        <x:v>Visualizer UI</x:v>
      </x:c>
      <x:c r="B10" s="13" t="str">
        <x:v>Upload/apply/select experience</x:v>
      </x:c>
      <x:c r="C10" s="13" t="str">
        <x:v>Uploader, preview, options, CTA, disclaimer</x:v>
      </x:c>
      <x:c r="D10" s="13" t="str">
        <x:v>loading, processing, fail, save</x:v>
      </x:c>
      <x:c r="E10" s="13" t="str">
        <x:v>image storage/model result</x:v>
      </x:c>
      <x:c r="F10" s="13" t="str">
        <x:v>Frontend/AI</x:v>
      </x:c>
      <x:c r="G10" s="13" t="str">
        <x:v>No irreversible edit without approval path</x:v>
      </x:c>
      <x:c r="H10" s="13" t="str">
        <x:v>planned</x:v>
      </x:c>
    </x:row>
    <x:row r="11">
      <x:c r="A11" s="13" t="str">
        <x:v>Agent Cockpit</x:v>
      </x:c>
      <x:c r="B11" s="13" t="str">
        <x:v>GPT/Codex/Base44 command view</x:v>
      </x:c>
      <x:c r="C11" s="13" t="str">
        <x:v>Task queue, handoffs, approvals, logs, blockers</x:v>
      </x:c>
      <x:c r="D11" s="13" t="str">
        <x:v>disabled, queued, completed, failed</x:v>
      </x:c>
      <x:c r="E11" s="13" t="str">
        <x:v>agent_runs, approval_queue</x:v>
      </x:c>
      <x:c r="F11" s="13" t="str">
        <x:v>Frontend/Ops</x:v>
      </x:c>
      <x:c r="G11" s="13" t="str">
        <x:v>Agent cannot claim protected action complete without receipt</x:v>
      </x:c>
      <x:c r="H11" s="13" t="str">
        <x:v>planned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19c8d653cf4a44d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</x:cols>
  <x:sheetData>
    <x:row r="1" ht="28" customHeight="1">
      <x:c r="A1" s="26" t="str">
        <x:v>Design System Tokens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Token-level frontend ceiling that every build must reference.</x:v>
      </x:c>
    </x:row>
    <x:row r="5">
      <x:c r="A5" s="20" t="str">
        <x:v>token_group</x:v>
      </x:c>
      <x:c r="B5" s="20" t="str">
        <x:v>token_name</x:v>
      </x:c>
      <x:c r="C5" s="20" t="str">
        <x:v>value_or_rule</x:v>
      </x:c>
      <x:c r="D5" s="20" t="str">
        <x:v>usage</x:v>
      </x:c>
      <x:c r="E5" s="20" t="str">
        <x:v>validation</x:v>
      </x:c>
      <x:c r="F5" s="20" t="str">
        <x:v>status</x:v>
      </x:c>
    </x:row>
    <x:row r="6">
      <x:c r="A6" s="13" t="str">
        <x:v>Color</x:v>
      </x:c>
      <x:c r="B6" s="13" t="str">
        <x:v>primary-black</x:v>
      </x:c>
      <x:c r="C6" s="13" t="str">
        <x:v>#0B0F19</x:v>
      </x:c>
      <x:c r="D6" s="13" t="str">
        <x:v>Authority backgrounds, nav, cockpit shells</x:v>
      </x:c>
      <x:c r="E6" s="13" t="str">
        <x:v>contrast check</x:v>
      </x:c>
      <x:c r="F6" s="13" t="str">
        <x:v>required</x:v>
      </x:c>
    </x:row>
    <x:row r="7">
      <x:c r="A7" s="13" t="str">
        <x:v>Color</x:v>
      </x:c>
      <x:c r="B7" s="13" t="str">
        <x:v>action-yellow</x:v>
      </x:c>
      <x:c r="C7" s="13" t="str">
        <x:v>#FACC15</x:v>
      </x:c>
      <x:c r="D7" s="13" t="str">
        <x:v>Primary CTA, highlights, validation pass accents</x:v>
      </x:c>
      <x:c r="E7" s="13" t="str">
        <x:v>contrast check</x:v>
      </x:c>
      <x:c r="F7" s="13" t="str">
        <x:v>required</x:v>
      </x:c>
    </x:row>
    <x:row r="8">
      <x:c r="A8" s="13" t="str">
        <x:v>Color</x:v>
      </x:c>
      <x:c r="B8" s="13" t="str">
        <x:v>surface-white</x:v>
      </x:c>
      <x:c r="C8" s="13" t="str">
        <x:v>#FFFFFF</x:v>
      </x:c>
      <x:c r="D8" s="13" t="str">
        <x:v>Readable content surfaces</x:v>
      </x:c>
      <x:c r="E8" s="13" t="str">
        <x:v>contrast check</x:v>
      </x:c>
      <x:c r="F8" s="13" t="str">
        <x:v>required</x:v>
      </x:c>
    </x:row>
    <x:row r="9">
      <x:c r="A9" s="13" t="str">
        <x:v>Color</x:v>
      </x:c>
      <x:c r="B9" s="13" t="str">
        <x:v>danger-red</x:v>
      </x:c>
      <x:c r="C9" s="13" t="str">
        <x:v>#DC2626</x:v>
      </x:c>
      <x:c r="D9" s="13" t="str">
        <x:v>Errors and release blockers</x:v>
      </x:c>
      <x:c r="E9" s="13" t="str">
        <x:v>semantic mapping</x:v>
      </x:c>
      <x:c r="F9" s="13" t="str">
        <x:v>required</x:v>
      </x:c>
    </x:row>
    <x:row r="10">
      <x:c r="A10" s="13" t="str">
        <x:v>Color</x:v>
      </x:c>
      <x:c r="B10" s="13" t="str">
        <x:v>success-green</x:v>
      </x:c>
      <x:c r="C10" s="13" t="str">
        <x:v>#16A34A</x:v>
      </x:c>
      <x:c r="D10" s="13" t="str">
        <x:v>Verified receipts only</x:v>
      </x:c>
      <x:c r="E10" s="13" t="str">
        <x:v>semantic mapping</x:v>
      </x:c>
      <x:c r="F10" s="13" t="str">
        <x:v>required</x:v>
      </x:c>
    </x:row>
    <x:row r="11">
      <x:c r="A11" s="13" t="str">
        <x:v>Typography</x:v>
      </x:c>
      <x:c r="B11" s="13" t="str">
        <x:v>font-sans</x:v>
      </x:c>
      <x:c r="C11" s="13" t="str">
        <x:v>Inter or system sans fallback</x:v>
      </x:c>
      <x:c r="D11" s="13" t="str">
        <x:v>UI, dashboards, body</x:v>
      </x:c>
      <x:c r="E11" s="13" t="str">
        <x:v>font fallback present</x:v>
      </x:c>
      <x:c r="F11" s="13" t="str">
        <x:v>required</x:v>
      </x:c>
    </x:row>
    <x:row r="12">
      <x:c r="A12" s="13" t="str">
        <x:v>Typography</x:v>
      </x:c>
      <x:c r="B12" s="13" t="str">
        <x:v>display-scale</x:v>
      </x:c>
      <x:c r="C12" s="13" t="str">
        <x:v>clamp-based responsive headings</x:v>
      </x:c>
      <x:c r="D12" s="13" t="str">
        <x:v>Hero, section titles</x:v>
      </x:c>
      <x:c r="E12" s="13" t="str">
        <x:v>mobile/desktop check</x:v>
      </x:c>
      <x:c r="F12" s="13" t="str">
        <x:v>required</x:v>
      </x:c>
    </x:row>
    <x:row r="13">
      <x:c r="A13" s="13" t="str">
        <x:v>Spacing</x:v>
      </x:c>
      <x:c r="B13" s="13" t="str">
        <x:v>space-scale</x:v>
      </x:c>
      <x:c r="C13" s="13" t="str">
        <x:v>4,8,12,16,24,32,48,64</x:v>
      </x:c>
      <x:c r="D13" s="13" t="str">
        <x:v>Grid rhythm</x:v>
      </x:c>
      <x:c r="E13" s="13" t="str">
        <x:v>token usage check</x:v>
      </x:c>
      <x:c r="F13" s="13" t="str">
        <x:v>required</x:v>
      </x:c>
    </x:row>
    <x:row r="14">
      <x:c r="A14" s="13" t="str">
        <x:v>Radius</x:v>
      </x:c>
      <x:c r="B14" s="13" t="str">
        <x:v>radius-system</x:v>
      </x:c>
      <x:c r="C14" s="13" t="str">
        <x:v>8,12,16,24</x:v>
      </x:c>
      <x:c r="D14" s="13" t="str">
        <x:v>Cards/forms/modals</x:v>
      </x:c>
      <x:c r="E14" s="13" t="str">
        <x:v>component check</x:v>
      </x:c>
      <x:c r="F14" s="13" t="str">
        <x:v>required</x:v>
      </x:c>
    </x:row>
    <x:row r="15">
      <x:c r="A15" s="13" t="str">
        <x:v>Shadow</x:v>
      </x:c>
      <x:c r="B15" s="13" t="str">
        <x:v>shadow-system</x:v>
      </x:c>
      <x:c r="C15" s="13" t="str">
        <x:v>soft layered shadows only</x:v>
      </x:c>
      <x:c r="D15" s="13" t="str">
        <x:v>Cards/popovers, avoid mud</x:v>
      </x:c>
      <x:c r="E15" s="13" t="str">
        <x:v>visual check</x:v>
      </x:c>
      <x:c r="F15" s="13" t="str">
        <x:v>required</x:v>
      </x:c>
    </x:row>
    <x:row r="16">
      <x:c r="A16" s="13" t="str">
        <x:v>Motion</x:v>
      </x:c>
      <x:c r="B16" s="13" t="str">
        <x:v>duration-fast</x:v>
      </x:c>
      <x:c r="C16" s="13" t="str">
        <x:v>120ms</x:v>
      </x:c>
      <x:c r="D16" s="13" t="str">
        <x:v>Buttons/toggles</x:v>
      </x:c>
      <x:c r="E16" s="13" t="str">
        <x:v>reduced motion check</x:v>
      </x:c>
      <x:c r="F16" s="13" t="str">
        <x:v>required</x:v>
      </x:c>
    </x:row>
    <x:row r="17">
      <x:c r="A17" s="13" t="str">
        <x:v>Motion</x:v>
      </x:c>
      <x:c r="B17" s="13" t="str">
        <x:v>duration-standard</x:v>
      </x:c>
      <x:c r="C17" s="13" t="str">
        <x:v>240ms</x:v>
      </x:c>
      <x:c r="D17" s="13" t="str">
        <x:v>Panels/transitions</x:v>
      </x:c>
      <x:c r="E17" s="13" t="str">
        <x:v>reduced motion check</x:v>
      </x:c>
      <x:c r="F17" s="13" t="str">
        <x:v>required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380e0e4b00a64f2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Component Library Ceiling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Every component must have purpose, variants, states, data needs, and validation.</x:v>
      </x:c>
    </x:row>
    <x:row r="5">
      <x:c r="A5" s="20" t="str">
        <x:v>component</x:v>
      </x:c>
      <x:c r="B5" s="20" t="str">
        <x:v>variants</x:v>
      </x:c>
      <x:c r="C5" s="20" t="str">
        <x:v>required_states</x:v>
      </x:c>
      <x:c r="D5" s="20" t="str">
        <x:v>data_props</x:v>
      </x:c>
      <x:c r="E5" s="20" t="str">
        <x:v>acceptance_criteria</x:v>
      </x:c>
      <x:c r="F5" s="20" t="str">
        <x:v>test_target</x:v>
      </x:c>
      <x:c r="G5" s="20" t="str">
        <x:v>status</x:v>
      </x:c>
    </x:row>
    <x:row r="6">
      <x:c r="A6" s="13" t="str">
        <x:v>Button</x:v>
      </x:c>
      <x:c r="B6" s="13" t="str">
        <x:v>primary, secondary, ghost, danger, icon</x:v>
      </x:c>
      <x:c r="C6" s="13" t="str">
        <x:v>default, hover, focus, disabled, loading</x:v>
      </x:c>
      <x:c r="D6" s="13" t="str">
        <x:v>label, href/onClick, loading</x:v>
      </x:c>
      <x:c r="E6" s="13" t="str">
        <x:v>Tap-safe, keyboard-safe, semantic action</x:v>
      </x:c>
      <x:c r="F6" s="13" t="str">
        <x:v>component/button.spec.ts</x:v>
      </x:c>
      <x:c r="G6" s="13" t="str">
        <x:v>planned</x:v>
      </x:c>
    </x:row>
    <x:row r="7">
      <x:c r="A7" s="13" t="str">
        <x:v>Card</x:v>
      </x:c>
      <x:c r="B7" s="13" t="str">
        <x:v>metric, content, project, receipt, blocker</x:v>
      </x:c>
      <x:c r="C7" s="13" t="str">
        <x:v>default, selected, warning, error</x:v>
      </x:c>
      <x:c r="D7" s="13" t="str">
        <x:v>title, body, status, source</x:v>
      </x:c>
      <x:c r="E7" s="13" t="str">
        <x:v>Status is explicit and color is semantic</x:v>
      </x:c>
      <x:c r="F7" s="13" t="str">
        <x:v>component/card.spec.ts</x:v>
      </x:c>
      <x:c r="G7" s="13" t="str">
        <x:v>planned</x:v>
      </x:c>
    </x:row>
    <x:row r="8">
      <x:c r="A8" s="13" t="str">
        <x:v>Form Field</x:v>
      </x:c>
      <x:c r="B8" s="13" t="str">
        <x:v>text, select, textarea, file, checkbox, phone</x:v>
      </x:c>
      <x:c r="C8" s="13" t="str">
        <x:v>default, focus, invalid, disabled, loading</x:v>
      </x:c>
      <x:c r="D8" s="13" t="str">
        <x:v>name, value, errors, help</x:v>
      </x:c>
      <x:c r="E8" s="13" t="str">
        <x:v>Label/error/help text always visible</x:v>
      </x:c>
      <x:c r="F8" s="13" t="str">
        <x:v>component/form-field.spec.ts</x:v>
      </x:c>
      <x:c r="G8" s="13" t="str">
        <x:v>planned</x:v>
      </x:c>
    </x:row>
    <x:row r="9">
      <x:c r="A9" s="13" t="str">
        <x:v>Nav Shell</x:v>
      </x:c>
      <x:c r="B9" s="13" t="str">
        <x:v>desktop, mobile, sidebar, topbar</x:v>
      </x:c>
      <x:c r="C9" s="13" t="str">
        <x:v>active, collapsed, open, disabled</x:v>
      </x:c>
      <x:c r="D9" s="13" t="str">
        <x:v>links, user, notifications</x:v>
      </x:c>
      <x:c r="E9" s="13" t="str">
        <x:v>Current page and safe actions clear</x:v>
      </x:c>
      <x:c r="F9" s="13" t="str">
        <x:v>component/nav.spec.ts</x:v>
      </x:c>
      <x:c r="G9" s="13" t="str">
        <x:v>planned</x:v>
      </x:c>
    </x:row>
    <x:row r="10">
      <x:c r="A10" s="13" t="str">
        <x:v>Modal/Drawer</x:v>
      </x:c>
      <x:c r="B10" s="13" t="str">
        <x:v>confirm, details, editor, approval</x:v>
      </x:c>
      <x:c r="C10" s="13" t="str">
        <x:v>open, close, saving, blocked</x:v>
      </x:c>
      <x:c r="D10" s="13" t="str">
        <x:v>title, content, action</x:v>
      </x:c>
      <x:c r="E10" s="13" t="str">
        <x:v>No destructive action without confirmation</x:v>
      </x:c>
      <x:c r="F10" s="13" t="str">
        <x:v>component/modal.spec.ts</x:v>
      </x:c>
      <x:c r="G10" s="13" t="str">
        <x:v>planned</x:v>
      </x:c>
    </x:row>
    <x:row r="11">
      <x:c r="A11" s="13" t="str">
        <x:v>Table/Data Grid</x:v>
      </x:c>
      <x:c r="B11" s="13" t="str">
        <x:v>queue, receipts, blockers, logs</x:v>
      </x:c>
      <x:c r="C11" s="13" t="str">
        <x:v>empty, loading, sorted, filtered</x:v>
      </x:c>
      <x:c r="D11" s="13" t="str">
        <x:v>rows, columns, actions</x:v>
      </x:c>
      <x:c r="E11" s="13" t="str">
        <x:v>Large data remains legible</x:v>
      </x:c>
      <x:c r="F11" s="13" t="str">
        <x:v>component/table.spec.ts</x:v>
      </x:c>
      <x:c r="G11" s="13" t="str">
        <x:v>planned</x:v>
      </x:c>
    </x:row>
    <x:row r="12">
      <x:c r="A12" s="13" t="str">
        <x:v>Stepper</x:v>
      </x:c>
      <x:c r="B12" s="13" t="str">
        <x:v>intake, approval, build, release</x:v>
      </x:c>
      <x:c r="C12" s="13" t="str">
        <x:v>current, complete, blocked</x:v>
      </x:c>
      <x:c r="D12" s="13" t="str">
        <x:v>steps, status</x:v>
      </x:c>
      <x:c r="E12" s="13" t="str">
        <x:v>User knows exact stage and next action</x:v>
      </x:c>
      <x:c r="F12" s="13" t="str">
        <x:v>component/stepper.spec.ts</x:v>
      </x:c>
      <x:c r="G12" s="13" t="str">
        <x:v>planned</x:v>
      </x:c>
    </x:row>
    <x:row r="13">
      <x:c r="A13" s="13" t="str">
        <x:v>Upload Dropzone</x:v>
      </x:c>
      <x:c r="B13" s="13" t="str">
        <x:v>image, doc, package</x:v>
      </x:c>
      <x:c r="C13" s="13" t="str">
        <x:v>idle, drag, upload, failed, success</x:v>
      </x:c>
      <x:c r="D13" s="13" t="str">
        <x:v>file, size, type</x:v>
      </x:c>
      <x:c r="E13" s="13" t="str">
        <x:v>Accepts only allowed file types</x:v>
      </x:c>
      <x:c r="F13" s="13" t="str">
        <x:v>component/upload.spec.ts</x:v>
      </x:c>
      <x:c r="G13" s="13" t="str">
        <x:v>planned</x:v>
      </x:c>
    </x:row>
    <x:row r="14">
      <x:c r="A14" s="13" t="str">
        <x:v>Status Badge</x:v>
      </x:c>
      <x:c r="B14" s="13" t="str">
        <x:v>verified, inferred, blocked, approval, locked</x:v>
      </x:c>
      <x:c r="C14" s="13" t="str">
        <x:v>all semantic states</x:v>
      </x:c>
      <x:c r="D14" s="13" t="str">
        <x:v>status, tooltip</x:v>
      </x:c>
      <x:c r="E14" s="13" t="str">
        <x:v>Never uses green for unverified claims</x:v>
      </x:c>
      <x:c r="F14" s="13" t="str">
        <x:v>component/status-badge.spec.ts</x:v>
      </x:c>
      <x:c r="G14" s="13" t="str">
        <x:v>planned</x:v>
      </x:c>
    </x:row>
    <x:row r="15">
      <x:c r="A15" s="13" t="str">
        <x:v>Command Panel</x:v>
      </x:c>
      <x:c r="B15" s="13" t="str">
        <x:v>GPT, Codex, Base44 handoff</x:v>
      </x:c>
      <x:c r="C15" s="13" t="str">
        <x:v>draft, queued, running, failed</x:v>
      </x:c>
      <x:c r="D15" s="13" t="str">
        <x:v>prompt, target, receipts</x:v>
      </x:c>
      <x:c r="E15" s="13" t="str">
        <x:v>Protected actions show approval gate</x:v>
      </x:c>
      <x:c r="F15" s="13" t="str">
        <x:v>component/command-panel.spec.ts</x:v>
      </x:c>
      <x:c r="G15" s="13" t="str">
        <x:v>planned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0e54b41f63ce428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</x:cols>
  <x:sheetData>
    <x:row r="1" ht="28" customHeight="1">
      <x:c r="A1" s="26" t="str">
        <x:v>Responsive Layout Rules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Mobile-first layout and breakpoint requirements.</x:v>
      </x:c>
    </x:row>
    <x:row r="5">
      <x:c r="A5" s="20" t="str">
        <x:v>breakpoint</x:v>
      </x:c>
      <x:c r="B5" s="20" t="str">
        <x:v>viewport</x:v>
      </x:c>
      <x:c r="C5" s="20" t="str">
        <x:v>layout_rule</x:v>
      </x:c>
      <x:c r="D5" s="20" t="str">
        <x:v>critical_checks</x:v>
      </x:c>
      <x:c r="E5" s="20" t="str">
        <x:v>acceptance_criteria</x:v>
      </x:c>
      <x:c r="F5" s="20" t="str">
        <x:v>status</x:v>
      </x:c>
    </x:row>
    <x:row r="6">
      <x:c r="A6" s="13" t="str">
        <x:v>mobile-xs</x:v>
      </x:c>
      <x:c r="B6" s="13" t="str">
        <x:v>320-374</x:v>
      </x:c>
      <x:c r="C6" s="13" t="str">
        <x:v>Single-column, no horizontal scroll, sticky CTA considered</x:v>
      </x:c>
      <x:c r="D6" s="13" t="str">
        <x:v>nav, forms, hero, cards</x:v>
      </x:c>
      <x:c r="E6" s="13" t="str">
        <x:v>All tap targets &gt;=44px, no clipped text</x:v>
      </x:c>
      <x:c r="F6" s="13" t="str">
        <x:v>required</x:v>
      </x:c>
    </x:row>
    <x:row r="7">
      <x:c r="A7" s="13" t="str">
        <x:v>mobile</x:v>
      </x:c>
      <x:c r="B7" s="13" t="str">
        <x:v>375-767</x:v>
      </x:c>
      <x:c r="C7" s="13" t="str">
        <x:v>Single-column with compact cards and short hero</x:v>
      </x:c>
      <x:c r="D7" s="13" t="str">
        <x:v>CTA above fold, form usability</x:v>
      </x:c>
      <x:c r="E7" s="13" t="str">
        <x:v>Primary conversion path usable by thumb</x:v>
      </x:c>
      <x:c r="F7" s="13" t="str">
        <x:v>required</x:v>
      </x:c>
    </x:row>
    <x:row r="8">
      <x:c r="A8" s="13" t="str">
        <x:v>tablet</x:v>
      </x:c>
      <x:c r="B8" s="13" t="str">
        <x:v>768-1023</x:v>
      </x:c>
      <x:c r="C8" s="13" t="str">
        <x:v>Two-column where useful; nav adapts</x:v>
      </x:c>
      <x:c r="D8" s="13" t="str">
        <x:v>grids, dialogs, sidebars</x:v>
      </x:c>
      <x:c r="E8" s="13" t="str">
        <x:v>Content density increases without cramped UI</x:v>
      </x:c>
      <x:c r="F8" s="13" t="str">
        <x:v>required</x:v>
      </x:c>
    </x:row>
    <x:row r="9">
      <x:c r="A9" s="13" t="str">
        <x:v>desktop</x:v>
      </x:c>
      <x:c r="B9" s="13" t="str">
        <x:v>1024-1439</x:v>
      </x:c>
      <x:c r="C9" s="13" t="str">
        <x:v>Full layout, sidebar/topbar, wider grids</x:v>
      </x:c>
      <x:c r="D9" s="13" t="str">
        <x:v>dashboard density, forms, gallery</x:v>
      </x:c>
      <x:c r="E9" s="13" t="str">
        <x:v>No orphan components; scannable rhythm</x:v>
      </x:c>
      <x:c r="F9" s="13" t="str">
        <x:v>required</x:v>
      </x:c>
    </x:row>
    <x:row r="10">
      <x:c r="A10" s="13" t="str">
        <x:v>wide</x:v>
      </x:c>
      <x:c r="B10" s="13" t="str">
        <x:v>1440+</x:v>
      </x:c>
      <x:c r="C10" s="13" t="str">
        <x:v>Max-width containers, no stretched text</x:v>
      </x:c>
      <x:c r="D10" s="13" t="str">
        <x:v>hero, tables, cockpit</x:v>
      </x:c>
      <x:c r="E10" s="13" t="str">
        <x:v>Content remains premium and bounded</x:v>
      </x:c>
      <x:c r="F10" s="13" t="str">
        <x:v>required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75f67979145e420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</x:cols>
  <x:sheetData>
    <x:row r="1" ht="28" customHeight="1">
      <x:c r="A1" s="26" t="str">
        <x:v>Accessibility Performance SEO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Frontend quality gates that must be checked before release.</x:v>
      </x:c>
    </x:row>
    <x:row r="5">
      <x:c r="A5" s="20" t="str">
        <x:v>gate</x:v>
      </x:c>
      <x:c r="B5" s="20" t="str">
        <x:v>requirement</x:v>
      </x:c>
      <x:c r="C5" s="20" t="str">
        <x:v>target</x:v>
      </x:c>
      <x:c r="D5" s="20" t="str">
        <x:v>validation_method</x:v>
      </x:c>
      <x:c r="E5" s="20" t="str">
        <x:v>release_impact</x:v>
      </x:c>
      <x:c r="F5" s="20" t="str">
        <x:v>status</x:v>
      </x:c>
    </x:row>
    <x:row r="6">
      <x:c r="A6" s="13" t="str">
        <x:v>Accessibility</x:v>
      </x:c>
      <x:c r="B6" s="13" t="str">
        <x:v>Semantic HTML landmarks and labels</x:v>
      </x:c>
      <x:c r="C6" s="13" t="str">
        <x:v>No unlabeled actionable control</x:v>
      </x:c>
      <x:c r="D6" s="13" t="str">
        <x:v>axe/playwright/manual review</x:v>
      </x:c>
      <x:c r="E6" s="13" t="str">
        <x:v>P0 if critical</x:v>
      </x:c>
      <x:c r="F6" s="13" t="str">
        <x:v>planned</x:v>
      </x:c>
    </x:row>
    <x:row r="7">
      <x:c r="A7" s="13" t="str">
        <x:v>Keyboard</x:v>
      </x:c>
      <x:c r="B7" s="13" t="str">
        <x:v>All actionable UI keyboard reachable</x:v>
      </x:c>
      <x:c r="C7" s="13" t="str">
        <x:v>No keyboard trap</x:v>
      </x:c>
      <x:c r="D7" s="13" t="str">
        <x:v>tab flow test</x:v>
      </x:c>
      <x:c r="E7" s="13" t="str">
        <x:v>P0 if critical</x:v>
      </x:c>
      <x:c r="F7" s="13" t="str">
        <x:v>planned</x:v>
      </x:c>
    </x:row>
    <x:row r="8">
      <x:c r="A8" s="13" t="str">
        <x:v>Contrast</x:v>
      </x:c>
      <x:c r="B8" s="13" t="str">
        <x:v>Text and CTA contrast acceptable</x:v>
      </x:c>
      <x:c r="C8" s="13" t="str">
        <x:v>WCAG-oriented contrast</x:v>
      </x:c>
      <x:c r="D8" s="13" t="str">
        <x:v>contrast scan/manual</x:v>
      </x:c>
      <x:c r="E8" s="13" t="str">
        <x:v>P0/P1</x:v>
      </x:c>
      <x:c r="F8" s="13" t="str">
        <x:v>planned</x:v>
      </x:c>
    </x:row>
    <x:row r="9">
      <x:c r="A9" s="13" t="str">
        <x:v>Reduced Motion</x:v>
      </x:c>
      <x:c r="B9" s="13" t="str">
        <x:v>Motion respects reduced-motion preference</x:v>
      </x:c>
      <x:c r="C9" s="13" t="str">
        <x:v>No essential motion only</x:v>
      </x:c>
      <x:c r="D9" s="13" t="str">
        <x:v>CSS/media query review</x:v>
      </x:c>
      <x:c r="E9" s="13" t="str">
        <x:v>P1</x:v>
      </x:c>
      <x:c r="F9" s="13" t="str">
        <x:v>planned</x:v>
      </x:c>
    </x:row>
    <x:row r="10">
      <x:c r="A10" s="13" t="str">
        <x:v>Performance</x:v>
      </x:c>
      <x:c r="B10" s="13" t="str">
        <x:v>Bundle and image budgets defined</x:v>
      </x:c>
      <x:c r="C10" s="13" t="str">
        <x:v>No uncontrolled bloat</x:v>
      </x:c>
      <x:c r="D10" s="13" t="str">
        <x:v>build/analyze/lighthouse</x:v>
      </x:c>
      <x:c r="E10" s="13" t="str">
        <x:v>P1</x:v>
      </x:c>
      <x:c r="F10" s="13" t="str">
        <x:v>planned</x:v>
      </x:c>
    </x:row>
    <x:row r="11">
      <x:c r="A11" s="13" t="str">
        <x:v>Images</x:v>
      </x:c>
      <x:c r="B11" s="13" t="str">
        <x:v>Image dimensions, lazy loading, alt text</x:v>
      </x:c>
      <x:c r="C11" s="13" t="str">
        <x:v>No layout shift from images</x:v>
      </x:c>
      <x:c r="D11" s="13" t="str">
        <x:v>code review/lighthouse</x:v>
      </x:c>
      <x:c r="E11" s="13" t="str">
        <x:v>P1</x:v>
      </x:c>
      <x:c r="F11" s="13" t="str">
        <x:v>planned</x:v>
      </x:c>
    </x:row>
    <x:row r="12">
      <x:c r="A12" s="13" t="str">
        <x:v>SEO</x:v>
      </x:c>
      <x:c r="B12" s="13" t="str">
        <x:v>Metadata, OG, canonical, sitemap if needed</x:v>
      </x:c>
      <x:c r="C12" s="13" t="str">
        <x:v>Pages discoverable and shareable</x:v>
      </x:c>
      <x:c r="D12" s="13" t="str">
        <x:v>metadata review</x:v>
      </x:c>
      <x:c r="E12" s="13" t="str">
        <x:v>P1</x:v>
      </x:c>
      <x:c r="F12" s="13" t="str">
        <x:v>planned</x:v>
      </x:c>
    </x:row>
    <x:row r="13">
      <x:c r="A13" s="13" t="str">
        <x:v>Structured Data</x:v>
      </x:c>
      <x:c r="B13" s="13" t="str">
        <x:v>Local business/service schema if relevant</x:v>
      </x:c>
      <x:c r="C13" s="13" t="str">
        <x:v>Valid schema only</x:v>
      </x:c>
      <x:c r="D13" s="13" t="str">
        <x:v>rich result test/manual</x:v>
      </x:c>
      <x:c r="E13" s="13" t="str">
        <x:v>P2</x:v>
      </x:c>
      <x:c r="F13" s="13" t="str">
        <x:v>conditional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2610af7adf37413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</x:cols>
  <x:sheetData>
    <x:row r="1" ht="28" customHeight="1">
      <x:c r="A1" s="26" t="str">
        <x:v>Motion and Interaction States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Defines motion as UX feedback, not decoration.</x:v>
      </x:c>
    </x:row>
    <x:row r="5">
      <x:c r="A5" s="20" t="str">
        <x:v>interaction</x:v>
      </x:c>
      <x:c r="B5" s="20" t="str">
        <x:v>motion_rule</x:v>
      </x:c>
      <x:c r="C5" s="20" t="str">
        <x:v>duration</x:v>
      </x:c>
      <x:c r="D5" s="20" t="str">
        <x:v>reduced_motion_behavior</x:v>
      </x:c>
      <x:c r="E5" s="20" t="str">
        <x:v>acceptance_criteria</x:v>
      </x:c>
      <x:c r="F5" s="20" t="str">
        <x:v>status</x:v>
      </x:c>
    </x:row>
    <x:row r="6">
      <x:c r="A6" s="13" t="str">
        <x:v>Button press</x:v>
      </x:c>
      <x:c r="B6" s="13" t="str">
        <x:v>Scale/opacity or border feedback only</x:v>
      </x:c>
      <x:c r="C6" s="13" t="str">
        <x:v>120ms</x:v>
      </x:c>
      <x:c r="D6" s="13" t="str">
        <x:v>Disable scale; keep color/focus</x:v>
      </x:c>
      <x:c r="E6" s="13" t="str">
        <x:v>User sees input accepted</x:v>
      </x:c>
      <x:c r="F6" s="13" t="str">
        <x:v>required</x:v>
      </x:c>
    </x:row>
    <x:row r="7">
      <x:c r="A7" s="13" t="str">
        <x:v>Panel reveal</x:v>
      </x:c>
      <x:c r="B7" s="13" t="str">
        <x:v>Slide/fade with no layout jump</x:v>
      </x:c>
      <x:c r="C7" s="13" t="str">
        <x:v>180-240ms</x:v>
      </x:c>
      <x:c r="D7" s="13" t="str">
        <x:v>Instant reveal</x:v>
      </x:c>
      <x:c r="E7" s="13" t="str">
        <x:v>Drawer feels intentional</x:v>
      </x:c>
      <x:c r="F7" s="13" t="str">
        <x:v>required</x:v>
      </x:c>
    </x:row>
    <x:row r="8">
      <x:c r="A8" s="13" t="str">
        <x:v>Form progress</x:v>
      </x:c>
      <x:c r="B8" s="13" t="str">
        <x:v>Stepper change with clear confirmation</x:v>
      </x:c>
      <x:c r="C8" s="13" t="str">
        <x:v>180ms</x:v>
      </x:c>
      <x:c r="D8" s="13" t="str">
        <x:v>Instant state change</x:v>
      </x:c>
      <x:c r="E8" s="13" t="str">
        <x:v>User knows stage changed</x:v>
      </x:c>
      <x:c r="F8" s="13" t="str">
        <x:v>required</x:v>
      </x:c>
    </x:row>
    <x:row r="9">
      <x:c r="A9" s="13" t="str">
        <x:v>Loading</x:v>
      </x:c>
      <x:c r="B9" s="13" t="str">
        <x:v>Skeleton or spinner with text for longer waits</x:v>
      </x:c>
      <x:c r="C9" s="13" t="str">
        <x:v>as needed</x:v>
      </x:c>
      <x:c r="D9" s="13" t="str">
        <x:v>Static skeleton</x:v>
      </x:c>
      <x:c r="E9" s="13" t="str">
        <x:v>No blank waiting surface</x:v>
      </x:c>
      <x:c r="F9" s="13" t="str">
        <x:v>required</x:v>
      </x:c>
    </x:row>
    <x:row r="10">
      <x:c r="A10" s="13" t="str">
        <x:v>Error</x:v>
      </x:c>
      <x:c r="B10" s="13" t="str">
        <x:v>Shake avoided; clear message and recovery action</x:v>
      </x:c>
      <x:c r="C10" s="13" t="str">
        <x:v>none/120ms</x:v>
      </x:c>
      <x:c r="D10" s="13" t="str">
        <x:v>No shake</x:v>
      </x:c>
      <x:c r="E10" s="13" t="str">
        <x:v>Recovery path visible</x:v>
      </x:c>
      <x:c r="F10" s="13" t="str">
        <x:v>required</x:v>
      </x:c>
    </x:row>
    <x:row r="11">
      <x:c r="A11" s="13" t="str">
        <x:v>Page transition</x:v>
      </x:c>
      <x:c r="B11" s="13" t="str">
        <x:v>Subtle fade only if performance safe</x:v>
      </x:c>
      <x:c r="C11" s="13" t="str">
        <x:v>180ms</x:v>
      </x:c>
      <x:c r="D11" s="13" t="str">
        <x:v>No transition</x:v>
      </x:c>
      <x:c r="E11" s="13" t="str">
        <x:v>No motion tax on mobile</x:v>
      </x:c>
      <x:c r="F11" s="13" t="str">
        <x:v>optional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3fd6f2f2b572486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26" t="str">
        <x:v>Data and API Contracts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Every dynamic frontend surface must map to data, fallback, and receipts.</x:v>
      </x:c>
    </x:row>
    <x:row r="5">
      <x:c r="A5" s="20" t="str">
        <x:v>ui_surface</x:v>
      </x:c>
      <x:c r="B5" s="20" t="str">
        <x:v>data_needed</x:v>
      </x:c>
      <x:c r="C5" s="20" t="str">
        <x:v>source_system</x:v>
      </x:c>
      <x:c r="D5" s="20" t="str">
        <x:v>api_or_table</x:v>
      </x:c>
      <x:c r="E5" s="20" t="str">
        <x:v>loading_state</x:v>
      </x:c>
      <x:c r="F5" s="20" t="str">
        <x:v>empty_state</x:v>
      </x:c>
      <x:c r="G5" s="20" t="str">
        <x:v>error_state</x:v>
      </x:c>
      <x:c r="H5" s="20" t="str">
        <x:v>receipt_required</x:v>
      </x:c>
      <x:c r="I5" s="20" t="str">
        <x:v>status</x:v>
      </x:c>
    </x:row>
    <x:row r="6">
      <x:c r="A6" s="13" t="str">
        <x:v>Dashboard KPIs</x:v>
      </x:c>
      <x:c r="B6" s="13" t="str">
        <x:v>counts/statuses</x:v>
      </x:c>
      <x:c r="C6" s="13" t="str">
        <x:v>Supabase or static fallback</x:v>
      </x:c>
      <x:c r="D6" s="13" t="str">
        <x:v>receipt_queue, blocker_queue, task_queue</x:v>
      </x:c>
      <x:c r="E6" s="13" t="str">
        <x:v>skeleton cards</x:v>
      </x:c>
      <x:c r="F6" s="13" t="str">
        <x:v>zero-state guidance</x:v>
      </x:c>
      <x:c r="G6" s="13" t="str">
        <x:v>error card with retry</x:v>
      </x:c>
      <x:c r="H6" s="13" t="str">
        <x:v>yes</x:v>
      </x:c>
      <x:c r="I6" s="13" t="str">
        <x:v>planned</x:v>
      </x:c>
    </x:row>
    <x:row r="7">
      <x:c r="A7" s="13" t="str">
        <x:v>Approval Queue</x:v>
      </x:c>
      <x:c r="B7" s="13" t="str">
        <x:v>approval items</x:v>
      </x:c>
      <x:c r="C7" s="13" t="str">
        <x:v>Supabase</x:v>
      </x:c>
      <x:c r="D7" s="13" t="str">
        <x:v>approval_queue</x:v>
      </x:c>
      <x:c r="E7" s="13" t="str">
        <x:v>list skeleton</x:v>
      </x:c>
      <x:c r="F7" s="13" t="str">
        <x:v>no approvals pending</x:v>
      </x:c>
      <x:c r="G7" s="13" t="str">
        <x:v>blocked with source</x:v>
      </x:c>
      <x:c r="H7" s="13" t="str">
        <x:v>yes</x:v>
      </x:c>
      <x:c r="I7" s="13" t="str">
        <x:v>planned</x:v>
      </x:c>
    </x:row>
    <x:row r="8">
      <x:c r="A8" s="13" t="str">
        <x:v>Receipt Index</x:v>
      </x:c>
      <x:c r="B8" s="13" t="str">
        <x:v>receipt rows</x:v>
      </x:c>
      <x:c r="C8" s="13" t="str">
        <x:v>repo/Supabase</x:v>
      </x:c>
      <x:c r="D8" s="13" t="str">
        <x:v>03_Bridge_Receipts or receipt_queue</x:v>
      </x:c>
      <x:c r="E8" s="13" t="str">
        <x:v>table skeleton</x:v>
      </x:c>
      <x:c r="F8" s="13" t="str">
        <x:v>no receipts yet</x:v>
      </x:c>
      <x:c r="G8" s="13" t="str">
        <x:v>error state</x:v>
      </x:c>
      <x:c r="H8" s="13" t="str">
        <x:v>yes</x:v>
      </x:c>
      <x:c r="I8" s="13" t="str">
        <x:v>planned</x:v>
      </x:c>
    </x:row>
    <x:row r="9">
      <x:c r="A9" s="13" t="str">
        <x:v>Intake Form</x:v>
      </x:c>
      <x:c r="B9" s="13" t="str">
        <x:v>lead/project fields</x:v>
      </x:c>
      <x:c r="C9" s="13" t="str">
        <x:v>API/CRM/Supabase</x:v>
      </x:c>
      <x:c r="D9" s="13" t="str">
        <x:v>/api/intake, leads table</x:v>
      </x:c>
      <x:c r="E9" s="13" t="str">
        <x:v>submitting</x:v>
      </x:c>
      <x:c r="F9" s="13" t="str">
        <x:v>not applicable</x:v>
      </x:c>
      <x:c r="G9" s="13" t="str">
        <x:v>inline errors</x:v>
      </x:c>
      <x:c r="H9" s="13" t="str">
        <x:v>yes</x:v>
      </x:c>
      <x:c r="I9" s="13" t="str">
        <x:v>planned</x:v>
      </x:c>
    </x:row>
    <x:row r="10">
      <x:c r="A10" s="13" t="str">
        <x:v>Upload Module</x:v>
      </x:c>
      <x:c r="B10" s="13" t="str">
        <x:v>files, sizes, types</x:v>
      </x:c>
      <x:c r="C10" s="13" t="str">
        <x:v>Storage</x:v>
      </x:c>
      <x:c r="D10" s="13" t="str">
        <x:v>Supabase storage or upload API</x:v>
      </x:c>
      <x:c r="E10" s="13" t="str">
        <x:v>upload progress</x:v>
      </x:c>
      <x:c r="F10" s="13" t="str">
        <x:v>prompt upload</x:v>
      </x:c>
      <x:c r="G10" s="13" t="str">
        <x:v>retry/remove file</x:v>
      </x:c>
      <x:c r="H10" s="13" t="str">
        <x:v>yes</x:v>
      </x:c>
      <x:c r="I10" s="13" t="str">
        <x:v>planned</x:v>
      </x:c>
    </x:row>
    <x:row r="11">
      <x:c r="A11" s="13" t="str">
        <x:v>Agent Command</x:v>
      </x:c>
      <x:c r="B11" s="13" t="str">
        <x:v>prompt/task state</x:v>
      </x:c>
      <x:c r="C11" s="13" t="str">
        <x:v>queue</x:v>
      </x:c>
      <x:c r="D11" s="13" t="str">
        <x:v>task_queue, agent_runs</x:v>
      </x:c>
      <x:c r="E11" s="13" t="str">
        <x:v>queued/running</x:v>
      </x:c>
      <x:c r="F11" s="13" t="str">
        <x:v>no task selected</x:v>
      </x:c>
      <x:c r="G11" s="13" t="str">
        <x:v>blocked/protected</x:v>
      </x:c>
      <x:c r="H11" s="13" t="str">
        <x:v>yes</x:v>
      </x:c>
      <x:c r="I11" s="13" t="str">
        <x:v>planned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5a81ef26b523484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Forms and Conversion Logic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Rules for lead capture, quote flows, contact forms, and conversion UI.</x:v>
      </x:c>
    </x:row>
    <x:row r="5">
      <x:c r="A5" s="20" t="str">
        <x:v>flow</x:v>
      </x:c>
      <x:c r="B5" s="20" t="str">
        <x:v>fields_or_steps</x:v>
      </x:c>
      <x:c r="C5" s="20" t="str">
        <x:v>required_states</x:v>
      </x:c>
      <x:c r="D5" s="20" t="str">
        <x:v>validation</x:v>
      </x:c>
      <x:c r="E5" s="20" t="str">
        <x:v>receipt</x:v>
      </x:c>
      <x:c r="F5" s="20" t="str">
        <x:v>acceptance_criteria</x:v>
      </x:c>
      <x:c r="G5" s="20" t="str">
        <x:v>status</x:v>
      </x:c>
    </x:row>
    <x:row r="6">
      <x:c r="A6" s="13" t="str">
        <x:v>Lead Form</x:v>
      </x:c>
      <x:c r="B6" s="13" t="str">
        <x:v>name, phone, email, service, zip, notes</x:v>
      </x:c>
      <x:c r="C6" s="13" t="str">
        <x:v>idle, invalid, submitting, success, error</x:v>
      </x:c>
      <x:c r="D6" s="13" t="str">
        <x:v>client + server</x:v>
      </x:c>
      <x:c r="E6" s="13" t="str">
        <x:v>FORM_RECEIPT.md</x:v>
      </x:c>
      <x:c r="F6" s="13" t="str">
        <x:v>Can submit only valid data; user receives confirmation</x:v>
      </x:c>
      <x:c r="G6" s="13" t="str">
        <x:v>planned</x:v>
      </x:c>
    </x:row>
    <x:row r="7">
      <x:c r="A7" s="13" t="str">
        <x:v>Quote Flow</x:v>
      </x:c>
      <x:c r="B7" s="13" t="str">
        <x:v>service, square footage, images, timeline, contact</x:v>
      </x:c>
      <x:c r="C7" s="13" t="str">
        <x:v>step, saved, upload fail, submitted</x:v>
      </x:c>
      <x:c r="D7" s="13" t="str">
        <x:v>field + file rules</x:v>
      </x:c>
      <x:c r="E7" s="13" t="str">
        <x:v>QUOTE_FLOW_RECEIPT.md</x:v>
      </x:c>
      <x:c r="F7" s="13" t="str">
        <x:v>No dead end; partial save if applicable</x:v>
      </x:c>
      <x:c r="G7" s="13" t="str">
        <x:v>planned</x:v>
      </x:c>
    </x:row>
    <x:row r="8">
      <x:c r="A8" s="13" t="str">
        <x:v>Approval Flow</x:v>
      </x:c>
      <x:c r="B8" s="13" t="str">
        <x:v>approval item, reason, confirm</x:v>
      </x:c>
      <x:c r="C8" s="13" t="str">
        <x:v>pending, approved, rejected, blocked</x:v>
      </x:c>
      <x:c r="D8" s="13" t="str">
        <x:v>operator approval gate</x:v>
      </x:c>
      <x:c r="E8" s="13" t="str">
        <x:v>APPROVAL_RECEIPT.md</x:v>
      </x:c>
      <x:c r="F8" s="13" t="str">
        <x:v>Protected actions cannot bypass approval</x:v>
      </x:c>
      <x:c r="G8" s="13" t="str">
        <x:v>planned</x:v>
      </x:c>
    </x:row>
    <x:row r="9">
      <x:c r="A9" s="13" t="str">
        <x:v>Payment CTA</x:v>
      </x:c>
      <x:c r="B9" s="13" t="str">
        <x:v>plan/offer, disclaimer, payment route</x:v>
      </x:c>
      <x:c r="C9" s="13" t="str">
        <x:v>disabled until valid, pending, success</x:v>
      </x:c>
      <x:c r="D9" s="13" t="str">
        <x:v>Stripe gating</x:v>
      </x:c>
      <x:c r="E9" s="13" t="str">
        <x:v>PAYMENT_GATE_RECEIPT.md</x:v>
      </x:c>
      <x:c r="F9" s="13" t="str">
        <x:v>No payment action without explicit approval config</x:v>
      </x:c>
      <x:c r="G9" s="13" t="str">
        <x:v>conditional</x:v>
      </x:c>
    </x:row>
    <x:row r="10">
      <x:c r="A10" s="13" t="str">
        <x:v>Newsletter/Follow-up</x:v>
      </x:c>
      <x:c r="B10" s="13" t="str">
        <x:v>email/phone consent</x:v>
      </x:c>
      <x:c r="C10" s="13" t="str">
        <x:v>idle, invalid, success</x:v>
      </x:c>
      <x:c r="D10" s="13" t="str">
        <x:v>consent capture</x:v>
      </x:c>
      <x:c r="E10" s="13" t="str">
        <x:v>CONSENT_RECEIPT.md</x:v>
      </x:c>
      <x:c r="F10" s="13" t="str">
        <x:v>Consent language visible and stored</x:v>
      </x:c>
      <x:c r="G10" s="13" t="str">
        <x:v>conditional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2c4758f1e09b434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</x:cols>
  <x:sheetData>
    <x:row r="1" ht="28" customHeight="1">
      <x:c r="A1" s="26" t="str">
        <x:v>Vercel and Next.js Runtime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Frontend runtime planning, not production deployment approval.</x:v>
      </x:c>
    </x:row>
    <x:row r="5">
      <x:c r="A5" s="20" t="str">
        <x:v>runtime_item</x:v>
      </x:c>
      <x:c r="B5" s="20" t="str">
        <x:v>requirement</x:v>
      </x:c>
      <x:c r="C5" s="20" t="str">
        <x:v>validation_command</x:v>
      </x:c>
      <x:c r="D5" s="20" t="str">
        <x:v>approval_needed</x:v>
      </x:c>
      <x:c r="E5" s="20" t="str">
        <x:v>receipt_path</x:v>
      </x:c>
      <x:c r="F5" s="20" t="str">
        <x:v>status</x:v>
      </x:c>
    </x:row>
    <x:row r="6">
      <x:c r="A6" s="13" t="str">
        <x:v>Preview deployment</x:v>
      </x:c>
      <x:c r="B6" s="13" t="str">
        <x:v>Use preview before production</x:v>
      </x:c>
      <x:c r="C6" s="13" t="str">
        <x:v>vercel deploy --logs</x:v>
      </x:c>
      <x:c r="D6" s="13" t="str">
        <x:v>operator for live sharing</x:v>
      </x:c>
      <x:c r="E6" s="13" t="str">
        <x:v>03_Bridge_Receipts/vercel/PREVIEW_RECEIPT.md</x:v>
      </x:c>
      <x:c r="F6" s="13" t="str">
        <x:v>planned</x:v>
      </x:c>
    </x:row>
    <x:row r="7">
      <x:c r="A7" s="13" t="str">
        <x:v>Environment pull</x:v>
      </x:c>
      <x:c r="B7" s="13" t="str">
        <x:v>Preview env visible locally only when approved</x:v>
      </x:c>
      <x:c r="C7" s="13" t="str">
        <x:v>vercel env pull .env.local</x:v>
      </x:c>
      <x:c r="D7" s="13" t="str">
        <x:v>yes if secrets</x:v>
      </x:c>
      <x:c r="E7" s="13" t="str">
        <x:v>03_Bridge_Receipts/vercel/ENV_PULL_RECEIPT.md</x:v>
      </x:c>
      <x:c r="F7" s="13" t="str">
        <x:v>planned</x:v>
      </x:c>
    </x:row>
    <x:row r="8">
      <x:c r="A8" s="13" t="str">
        <x:v>Build</x:v>
      </x:c>
      <x:c r="B8" s="13" t="str">
        <x:v>Next build must pass</x:v>
      </x:c>
      <x:c r="C8" s="13" t="str">
        <x:v>npm run build or vercel build</x:v>
      </x:c>
      <x:c r="D8" s="13" t="str">
        <x:v>no for local</x:v>
      </x:c>
      <x:c r="E8" s="13" t="str">
        <x:v>03_Bridge_Receipts/vercel/BUILD_RECEIPT.md</x:v>
      </x:c>
      <x:c r="F8" s="13" t="str">
        <x:v>planned</x:v>
      </x:c>
    </x:row>
    <x:row r="9">
      <x:c r="A9" s="13" t="str">
        <x:v>Production build check</x:v>
      </x:c>
      <x:c r="B9" s="13" t="str">
        <x:v>Prod build can be simulated, not deployed</x:v>
      </x:c>
      <x:c r="C9" s="13" t="str">
        <x:v>vercel build --prod</x:v>
      </x:c>
      <x:c r="D9" s="13" t="str">
        <x:v>yes if prod env</x:v>
      </x:c>
      <x:c r="E9" s="13" t="str">
        <x:v>03_Bridge_Receipts/vercel/PROD_BUILD_CHECK.md</x:v>
      </x:c>
      <x:c r="F9" s="13" t="str">
        <x:v>conditional</x:v>
      </x:c>
    </x:row>
    <x:row r="10">
      <x:c r="A10" s="13" t="str">
        <x:v>Runtime logs</x:v>
      </x:c>
      <x:c r="B10" s="13" t="str">
        <x:v>Production logs only if project exists</x:v>
      </x:c>
      <x:c r="C10" s="13" t="str">
        <x:v>vercel logs --environment production --level error --since 5m</x:v>
      </x:c>
      <x:c r="D10" s="13" t="str">
        <x:v>yes</x:v>
      </x:c>
      <x:c r="E10" s="13" t="str">
        <x:v>03_Bridge_Receipts/vercel/RUNTIME_LOG_RECEIPT.md</x:v>
      </x:c>
      <x:c r="F10" s="13" t="str">
        <x:v>conditional</x:v>
      </x:c>
    </x:row>
    <x:row r="11">
      <x:c r="A11" s="13" t="str">
        <x:v>Rollback</x:v>
      </x:c>
      <x:c r="B11" s="13" t="str">
        <x:v>Rollback path documented before launch</x:v>
      </x:c>
      <x:c r="C11" s="13" t="str">
        <x:v>vercel rollback status [project]</x:v>
      </x:c>
      <x:c r="D11" s="13" t="str">
        <x:v>yes</x:v>
      </x:c>
      <x:c r="E11" s="13" t="str">
        <x:v>03_Bridge_Receipts/vercel/ROLLBACK_RECEIPT.md</x:v>
      </x:c>
      <x:c r="F11" s="13" t="str">
        <x:v>conditional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3226d130bfd6403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</x:cols>
  <x:sheetData>
    <x:row r="1" ht="28" customHeight="1">
      <x:c r="A1" s="26" t="str">
        <x:v>Supabase Frontend Contract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Frontend usage boundaries for Supabase-backed UI.</x:v>
      </x:c>
    </x:row>
    <x:row r="5">
      <x:c r="A5" s="20" t="str">
        <x:v>contract</x:v>
      </x:c>
      <x:c r="B5" s="20" t="str">
        <x:v>frontend_requirement</x:v>
      </x:c>
      <x:c r="C5" s="20" t="str">
        <x:v>backend_dependency</x:v>
      </x:c>
      <x:c r="D5" s="20" t="str">
        <x:v>release_gate</x:v>
      </x:c>
      <x:c r="E5" s="20" t="str">
        <x:v>receipt_path</x:v>
      </x:c>
      <x:c r="F5" s="20" t="str">
        <x:v>status</x:v>
      </x:c>
    </x:row>
    <x:row r="6">
      <x:c r="A6" s="13" t="str">
        <x:v>Public anon client</x:v>
      </x:c>
      <x:c r="B6" s="13" t="str">
        <x:v>Only anon-safe reads/writes from browser</x:v>
      </x:c>
      <x:c r="C6" s="13" t="str">
        <x:v>RLS policies</x:v>
      </x:c>
      <x:c r="D6" s="13" t="str">
        <x:v>P0 if missing</x:v>
      </x:c>
      <x:c r="E6" s="13" t="str">
        <x:v>03_Bridge_Receipts/supabase/ANON_CLIENT_RECEIPT.md</x:v>
      </x:c>
      <x:c r="F6" s="13" t="str">
        <x:v>planned</x:v>
      </x:c>
    </x:row>
    <x:row r="7">
      <x:c r="A7" s="13" t="str">
        <x:v>Auth state</x:v>
      </x:c>
      <x:c r="B7" s="13" t="str">
        <x:v>UI reflects signed-in/signed-out/loading</x:v>
      </x:c>
      <x:c r="C7" s="13" t="str">
        <x:v>auth config</x:v>
      </x:c>
      <x:c r="D7" s="13" t="str">
        <x:v>P0 if auth UI present</x:v>
      </x:c>
      <x:c r="E7" s="13" t="str">
        <x:v>03_Bridge_Receipts/supabase/AUTH_UI_RECEIPT.md</x:v>
      </x:c>
      <x:c r="F7" s="13" t="str">
        <x:v>conditional</x:v>
      </x:c>
    </x:row>
    <x:row r="8">
      <x:c r="A8" s="13" t="str">
        <x:v>Storage uploads</x:v>
      </x:c>
      <x:c r="B8" s="13" t="str">
        <x:v>Client upload policy safe and limited</x:v>
      </x:c>
      <x:c r="C8" s="13" t="str">
        <x:v>storage bucket/RLS</x:v>
      </x:c>
      <x:c r="D8" s="13" t="str">
        <x:v>P0 if uploads</x:v>
      </x:c>
      <x:c r="E8" s="13" t="str">
        <x:v>03_Bridge_Receipts/supabase/STORAGE_UI_RECEIPT.md</x:v>
      </x:c>
      <x:c r="F8" s="13" t="str">
        <x:v>conditional</x:v>
      </x:c>
    </x:row>
    <x:row r="9">
      <x:c r="A9" s="13" t="str">
        <x:v>Queues</x:v>
      </x:c>
      <x:c r="B9" s="13" t="str">
        <x:v>Dashboard reads task/approval/receipt queues</x:v>
      </x:c>
      <x:c r="C9" s="13" t="str">
        <x:v>tables and policies</x:v>
      </x:c>
      <x:c r="D9" s="13" t="str">
        <x:v>P1</x:v>
      </x:c>
      <x:c r="E9" s="13" t="str">
        <x:v>03_Bridge_Receipts/supabase/QUEUE_UI_RECEIPT.md</x:v>
      </x:c>
      <x:c r="F9" s="13" t="str">
        <x:v>planned</x:v>
      </x:c>
    </x:row>
    <x:row r="10">
      <x:c r="A10" s="13" t="str">
        <x:v>Errors</x:v>
      </x:c>
      <x:c r="B10" s="13" t="str">
        <x:v>Supabase errors never expose secrets</x:v>
      </x:c>
      <x:c r="C10" s="13" t="str">
        <x:v>error wrapper</x:v>
      </x:c>
      <x:c r="D10" s="13" t="str">
        <x:v>P0</x:v>
      </x:c>
      <x:c r="E10" s="13" t="str">
        <x:v>03_Bridge_Receipts/supabase/ERROR_UI_RECEIPT.md</x:v>
      </x:c>
      <x:c r="F10" s="13" t="str">
        <x:v>planned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3ce9c179a483497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</x:cols>
  <x:sheetData>
    <x:row r="1" ht="28" customHeight="1">
      <x:c r="A1" s="26" t="str">
        <x:v>GPT Frontend Directives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Directives to make GPT use this workbook and the repo ceiling workbook before producing frontend plans or code handoffs.</x:v>
      </x:c>
    </x:row>
    <x:row r="5">
      <x:c r="A5" s="20" t="str">
        <x:v>directive_id</x:v>
      </x:c>
      <x:c r="B5" s="20" t="str">
        <x:v>directive</x:v>
      </x:c>
      <x:c r="C5" s="20" t="str">
        <x:v>required_behavior</x:v>
      </x:c>
      <x:c r="D5" s="20" t="str">
        <x:v>failure_condition</x:v>
      </x:c>
      <x:c r="E5" s="20" t="str">
        <x:v>status</x:v>
      </x:c>
    </x:row>
    <x:row r="6">
      <x:c r="A6" s="13" t="str">
        <x:v>GPT-FE-001</x:v>
      </x:c>
      <x:c r="B6" s="13" t="str">
        <x:v>Read source truth first</x:v>
      </x:c>
      <x:c r="C6" s="13" t="str">
        <x:v>Inspect 00_START_HERE, 02_SOURCE_TRUTH_BRIDGE, 03_CAPABILITY_MAP, 18_FRONTEND_GAP_LEDGER, 24_CODEX_IMPLEMENTATION_HANDOFF before answering frontend build requests.</x:v>
      </x:c>
      <x:c r="D6" s="13" t="str">
        <x:v>GPT proposes frontend work without workbook alignment.</x:v>
      </x:c>
      <x:c r="E6" s="13" t="str">
        <x:v>active</x:v>
      </x:c>
    </x:row>
    <x:row r="7">
      <x:c r="A7" s="13" t="str">
        <x:v>GPT-FE-002</x:v>
      </x:c>
      <x:c r="B7" s="13" t="str">
        <x:v>Use both workbooks</x:v>
      </x:c>
      <x:c r="C7" s="13" t="str">
        <x:v>Cross-check this workbook against the highest repo ceiling workbook before defining scope.</x:v>
      </x:c>
      <x:c r="D7" s="13" t="str">
        <x:v>GPT ignores repo ceiling workbook or variant distinction.</x:v>
      </x:c>
      <x:c r="E7" s="13" t="str">
        <x:v>active</x:v>
      </x:c>
    </x:row>
    <x:row r="8">
      <x:c r="A8" s="13" t="str">
        <x:v>GPT-FE-003</x:v>
      </x:c>
      <x:c r="B8" s="13" t="str">
        <x:v>Map every recommendation to a row</x:v>
      </x:c>
      <x:c r="C8" s="13" t="str">
        <x:v>Every frontend recommendation must cite a workbook sheet/row, validation, and receipt path.</x:v>
      </x:c>
      <x:c r="D8" s="13" t="str">
        <x:v>Advice is generic or untraceable.</x:v>
      </x:c>
      <x:c r="E8" s="13" t="str">
        <x:v>active</x:v>
      </x:c>
    </x:row>
    <x:row r="9">
      <x:c r="A9" s="13" t="str">
        <x:v>GPT-FE-004</x:v>
      </x:c>
      <x:c r="B9" s="13" t="str">
        <x:v>Separate capability from readiness</x:v>
      </x:c>
      <x:c r="C9" s="13" t="str">
        <x:v>Can describe ceiling capabilities, but must not claim live readiness without proof.</x:v>
      </x:c>
      <x:c r="D9" s="13" t="str">
        <x:v>GPT says ready/live/complete without receipts.</x:v>
      </x:c>
      <x:c r="E9" s="13" t="str">
        <x:v>active</x:v>
      </x:c>
    </x:row>
    <x:row r="10">
      <x:c r="A10" s="13" t="str">
        <x:v>GPT-FE-005</x:v>
      </x:c>
      <x:c r="B10" s="13" t="str">
        <x:v>No random aesthetics</x:v>
      </x:c>
      <x:c r="C10" s="13" t="str">
        <x:v>Design direction must translate into tokens, components, layouts, states, and acceptance criteria.</x:v>
      </x:c>
      <x:c r="D10" s="13" t="str">
        <x:v>Taste-only design language.</x:v>
      </x:c>
      <x:c r="E10" s="13" t="str">
        <x:v>active</x:v>
      </x:c>
    </x:row>
    <x:row r="11">
      <x:c r="A11" s="13" t="str">
        <x:v>GPT-FE-006</x:v>
      </x:c>
      <x:c r="B11" s="13" t="str">
        <x:v>Protected actions stay gated</x:v>
      </x:c>
      <x:c r="C11" s="13" t="str">
        <x:v>Production deploys, env changes, live messages, payments, and destructive actions require operator approval.</x:v>
      </x:c>
      <x:c r="D11" s="13" t="str">
        <x:v>GPT tells Codex/Base44 to perform protected action without approval.</x:v>
      </x:c>
      <x:c r="E11" s="13" t="str">
        <x:v>active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9a200752a62848b0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</x:cols>
  <x:sheetData>
    <x:row r="1" ht="28" customHeight="1">
      <x:c r="A1" s="26" t="str">
        <x:v>Codex Implementation Handoff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Copy/paste handoff that tells Codex how to install and implement this frontend workbook safely.</x:v>
      </x:c>
    </x:row>
    <x:row r="5">
      <x:c r="A5" s="20" t="str">
        <x:v>line</x:v>
      </x:c>
      <x:c r="B5" s="20" t="str">
        <x:v>prompt_text</x:v>
      </x:c>
    </x:row>
    <x:row r="6">
      <x:c r="A6" s="13" t="n">
        <x:v>1</x:v>
      </x:c>
      <x:c r="B6" s="13" t="str">
        <x:v>PHASE: INSTALL -&gt; VALIDATE -&gt; HARDEN</x:v>
      </x:c>
    </x:row>
    <x:row r="7">
      <x:c r="A7" s="13" t="n">
        <x:v>2</x:v>
      </x:c>
      <x:c r="B7" s="13" t="str">
        <x:v>STEP: Install frontend ceiling workbook and implement frontend source-truth controls</x:v>
      </x:c>
    </x:row>
    <x:row r="8">
      <x:c r="A8" s="13" t="n">
        <x:v>3</x:v>
      </x:c>
      <x:c r="B8" s="13" t="str"/>
    </x:row>
    <x:row r="9">
      <x:c r="A9" s="13" t="n">
        <x:v>4</x:v>
      </x:c>
      <x:c r="B9" s="13" t="str">
        <x:v>Repo:</x:v>
      </x:c>
    </x:row>
    <x:row r="10">
      <x:c r="A10" s="13" t="n">
        <x:v>5</x:v>
      </x:c>
      <x:c r="B10" s="13" t="str">
        <x:v>Strategic-Minds/INTELLIGENCE-CUBE</x:v>
      </x:c>
    </x:row>
    <x:row r="11">
      <x:c r="A11" s="13" t="n">
        <x:v>6</x:v>
      </x:c>
      <x:c r="B11" s="13" t="str"/>
    </x:row>
    <x:row r="12">
      <x:c r="A12" s="13" t="n">
        <x:v>7</x:v>
      </x:c>
      <x:c r="B12" s="13" t="str">
        <x:v>Branch:</x:v>
      </x:c>
    </x:row>
    <x:row r="13">
      <x:c r="A13" s="13" t="n">
        <x:v>8</x:v>
      </x:c>
      <x:c r="B13" s="13" t="str">
        <x:v>codex/install-frontend-ceiling-workbook</x:v>
      </x:c>
    </x:row>
    <x:row r="14">
      <x:c r="A14" s="13" t="n">
        <x:v>9</x:v>
      </x:c>
      <x:c r="B14" s="13" t="str"/>
    </x:row>
    <x:row r="15">
      <x:c r="A15" s="13" t="n">
        <x:v>10</x:v>
      </x:c>
      <x:c r="B15" s="13" t="str">
        <x:v>Do not push to main.</x:v>
      </x:c>
    </x:row>
    <x:row r="16">
      <x:c r="A16" s="13" t="n">
        <x:v>11</x:v>
      </x:c>
      <x:c r="B16" s="13" t="str">
        <x:v>Do not deploy production.</x:v>
      </x:c>
    </x:row>
    <x:row r="17">
      <x:c r="A17" s="13" t="n">
        <x:v>12</x:v>
      </x:c>
      <x:c r="B17" s="13" t="str">
        <x:v>Do not expose secrets.</x:v>
      </x:c>
    </x:row>
    <x:row r="18">
      <x:c r="A18" s="13" t="n">
        <x:v>13</x:v>
      </x:c>
      <x:c r="B18" s="13" t="str">
        <x:v>Do not mark production-ready.</x:v>
      </x:c>
    </x:row>
    <x:row r="19">
      <x:c r="A19" s="13" t="n">
        <x:v>14</x:v>
      </x:c>
      <x:c r="B19" s="13" t="str">
        <x:v>Do not overwrite existing workbook source truth.</x:v>
      </x:c>
    </x:row>
    <x:row r="20">
      <x:c r="A20" s="13" t="n">
        <x:v>15</x:v>
      </x:c>
      <x:c r="B20" s="13" t="str"/>
    </x:row>
    <x:row r="21">
      <x:c r="A21" s="13" t="n">
        <x:v>16</x:v>
      </x:c>
      <x:c r="B21" s="13" t="str">
        <x:v>Install this workbook at:</x:v>
      </x:c>
    </x:row>
    <x:row r="22">
      <x:c r="A22" s="13" t="n">
        <x:v>17</x:v>
      </x:c>
      <x:c r="B22" s="13" t="str">
        <x:v>01_Builder_Docs/frontend-ceiling/AUTO_BUILDER_FRONTEND_CEILING_WORKBOOK.xlsx</x:v>
      </x:c>
    </x:row>
    <x:row r="23">
      <x:c r="A23" s="13" t="n">
        <x:v>18</x:v>
      </x:c>
      <x:c r="B23" s="13" t="str"/>
    </x:row>
    <x:row r="24">
      <x:c r="A24" s="13" t="n">
        <x:v>19</x:v>
      </x:c>
      <x:c r="B24" s="13" t="str">
        <x:v>Use this workbook as the frontend command ledger together with:</x:v>
      </x:c>
    </x:row>
    <x:row r="25">
      <x:c r="A25" s="13" t="n">
        <x:v>20</x:v>
      </x:c>
      <x:c r="B25" s="13" t="str">
        <x:v>01_Builder_Docs/highest-repo-ceiling-all-in-one/AUTO_BUILDER_HIGHEST_REPO_CEILING_ALL_IN_ONE_WORKBOOK.xlsx</x:v>
      </x:c>
    </x:row>
    <x:row r="26">
      <x:c r="A26" s="13" t="n">
        <x:v>21</x:v>
      </x:c>
      <x:c r="B26" s="13" t="str"/>
    </x:row>
    <x:row r="27">
      <x:c r="A27" s="13" t="n">
        <x:v>22</x:v>
      </x:c>
      <x:c r="B27" s="13" t="str">
        <x:v>Mission:</x:v>
      </x:c>
    </x:row>
    <x:row r="28">
      <x:c r="A28" s="13" t="n">
        <x:v>23</x:v>
      </x:c>
      <x:c r="B28" s="13" t="str">
        <x:v>1. Add the workbook package under 01_Builder_Docs/frontend-ceiling/.</x:v>
      </x:c>
    </x:row>
    <x:row r="29">
      <x:c r="A29" s="13" t="n">
        <x:v>24</x:v>
      </x:c>
      <x:c r="B29" s="13" t="str">
        <x:v>2. Add a README explaining that this workbook governs frontend planning, UI implementation, component rules, responsive behavior, accessibility, performance, forms, frontend data contracts, Vercel/Next.js runtime planning, Supabase frontend contracts, validation, receipts, and release gates.</x:v>
      </x:c>
    </x:row>
    <x:row r="30">
      <x:c r="A30" s="13" t="n">
        <x:v>25</x:v>
      </x:c>
      <x:c r="B30" s="13" t="str">
        <x:v>3. Update WORKBOOK_OS_MANIFEST.json to register this workbook as FRONTEND_CEILING_WORKBOOK with source_of_truth_rank support/frontend_primary.</x:v>
      </x:c>
    </x:row>
    <x:row r="31">
      <x:c r="A31" s="13" t="n">
        <x:v>26</x:v>
      </x:c>
      <x:c r="B31" s="13" t="str">
        <x:v>4. Add or update CODEX_HANDOFF.md or CODEX_HANDOFF_RULES.md with a frontend-ceiling section.</x:v>
      </x:c>
    </x:row>
    <x:row r="32">
      <x:c r="A32" s="13" t="n">
        <x:v>27</x:v>
      </x:c>
      <x:c r="B32" s="13" t="str">
        <x:v>5. Add a validator script: scripts/workbook_validation/validate_frontend_ceiling_workbook.py.</x:v>
      </x:c>
    </x:row>
    <x:row r="33">
      <x:c r="A33" s="13" t="n">
        <x:v>28</x:v>
      </x:c>
      <x:c r="B33" s="13" t="str">
        <x:v>6. Add a receipt: 03_Bridge_Receipts/frontend/RECEIPT_FRONTEND_CEILING_WORKBOOK_INSTALL.md.</x:v>
      </x:c>
    </x:row>
    <x:row r="34">
      <x:c r="A34" s="13" t="n">
        <x:v>29</x:v>
      </x:c>
      <x:c r="B34" s="13" t="str">
        <x:v>7. If app/components/lib/tests exist, inspect them and update 18_FRONTEND_GAP_LEDGER with real current status.</x:v>
      </x:c>
    </x:row>
    <x:row r="35">
      <x:c r="A35" s="13" t="n">
        <x:v>30</x:v>
      </x:c>
      <x:c r="B35" s="13" t="str">
        <x:v>8. Do not create production Vercel deployment.</x:v>
      </x:c>
    </x:row>
    <x:row r="36">
      <x:c r="A36" s="13" t="n">
        <x:v>31</x:v>
      </x:c>
      <x:c r="B36" s="13" t="str">
        <x:v>9. Do not change production env vars.</x:v>
      </x:c>
    </x:row>
    <x:row r="37">
      <x:c r="A37" s="13" t="n">
        <x:v>32</x:v>
      </x:c>
      <x:c r="B37" s="13" t="str">
        <x:v>10. Do not add live connector actions.</x:v>
      </x:c>
    </x:row>
    <x:row r="38">
      <x:c r="A38" s="13" t="n">
        <x:v>33</x:v>
      </x:c>
      <x:c r="B38" s="13" t="str"/>
    </x:row>
    <x:row r="39">
      <x:c r="A39" s="13" t="n">
        <x:v>34</x:v>
      </x:c>
      <x:c r="B39" s="13" t="str">
        <x:v>Required validation:</x:v>
      </x:c>
    </x:row>
    <x:row r="40">
      <x:c r="A40" s="13" t="n">
        <x:v>35</x:v>
      </x:c>
      <x:c r="B40" s="13" t="str">
        <x:v>python scripts/workbook_validation/validate_frontend_ceiling_workbook.py 01_Builder_Docs/frontend-ceiling/AUTO_BUILDER_FRONTEND_CEILING_WORKBOOK.xlsx</x:v>
      </x:c>
    </x:row>
    <x:row r="41">
      <x:c r="A41" s="13" t="n">
        <x:v>36</x:v>
      </x:c>
      <x:c r="B41" s="13" t="str">
        <x:v>python scripts/workbook_validation/validate_manifest.py if present</x:v>
      </x:c>
    </x:row>
    <x:row r="42">
      <x:c r="A42" s="13" t="n">
        <x:v>37</x:v>
      </x:c>
      <x:c r="B42" s="13" t="str">
        <x:v>python scripts/workbook_validation/validate_public_repo_boundaries.py if present</x:v>
      </x:c>
    </x:row>
    <x:row r="43">
      <x:c r="A43" s="13" t="n">
        <x:v>38</x:v>
      </x:c>
      <x:c r="B43" s="13" t="str">
        <x:v>npm ci if package-lock.json exists</x:v>
      </x:c>
    </x:row>
    <x:row r="44">
      <x:c r="A44" s="13" t="n">
        <x:v>39</x:v>
      </x:c>
      <x:c r="B44" s="13" t="str">
        <x:v>npm install if package.json exists and no lockfile exists</x:v>
      </x:c>
    </x:row>
    <x:row r="45">
      <x:c r="A45" s="13" t="n">
        <x:v>40</x:v>
      </x:c>
      <x:c r="B45" s="13" t="str">
        <x:v>npm run build if available</x:v>
      </x:c>
    </x:row>
    <x:row r="46">
      <x:c r="A46" s="13" t="n">
        <x:v>41</x:v>
      </x:c>
      <x:c r="B46" s="13" t="str">
        <x:v>npm run test if available</x:v>
      </x:c>
    </x:row>
    <x:row r="47">
      <x:c r="A47" s="13" t="n">
        <x:v>42</x:v>
      </x:c>
      <x:c r="B47" s="13" t="str">
        <x:v>npm run test:smoke if available</x:v>
      </x:c>
    </x:row>
    <x:row r="48">
      <x:c r="A48" s="13" t="n">
        <x:v>43</x:v>
      </x:c>
      <x:c r="B48" s="13" t="str">
        <x:v>npx playwright test if configured</x:v>
      </x:c>
    </x:row>
    <x:row r="49">
      <x:c r="A49" s="13" t="n">
        <x:v>44</x:v>
      </x:c>
      <x:c r="B49" s="13" t="str"/>
    </x:row>
    <x:row r="50">
      <x:c r="A50" s="13" t="n">
        <x:v>45</x:v>
      </x:c>
      <x:c r="B50" s="13" t="str">
        <x:v>Final output required:</x:v>
      </x:c>
    </x:row>
    <x:row r="51">
      <x:c r="A51" s="13" t="n">
        <x:v>46</x:v>
      </x:c>
      <x:c r="B51" s="13" t="str">
        <x:v>PHASE:</x:v>
      </x:c>
    </x:row>
    <x:row r="52">
      <x:c r="A52" s="13" t="n">
        <x:v>47</x:v>
      </x:c>
      <x:c r="B52" s="13" t="str">
        <x:v>STEP:</x:v>
      </x:c>
    </x:row>
    <x:row r="53">
      <x:c r="A53" s="13" t="n">
        <x:v>48</x:v>
      </x:c>
      <x:c r="B53" s="13" t="str">
        <x:v>BRANCH:</x:v>
      </x:c>
    </x:row>
    <x:row r="54">
      <x:c r="A54" s="13" t="n">
        <x:v>49</x:v>
      </x:c>
      <x:c r="B54" s="13" t="str">
        <x:v>FILES INSTALLED:</x:v>
      </x:c>
    </x:row>
    <x:row r="55">
      <x:c r="A55" s="13" t="n">
        <x:v>50</x:v>
      </x:c>
      <x:c r="B55" s="13" t="str">
        <x:v>FILES CHANGED:</x:v>
      </x:c>
    </x:row>
    <x:row r="56">
      <x:c r="A56" s="13" t="n">
        <x:v>51</x:v>
      </x:c>
      <x:c r="B56" s="13" t="str">
        <x:v>WORKBOOK REGISTERED:</x:v>
      </x:c>
    </x:row>
    <x:row r="57">
      <x:c r="A57" s="13" t="n">
        <x:v>52</x:v>
      </x:c>
      <x:c r="B57" s="13" t="str">
        <x:v>FRONTEND GAPS FOUND:</x:v>
      </x:c>
    </x:row>
    <x:row r="58">
      <x:c r="A58" s="13" t="n">
        <x:v>53</x:v>
      </x:c>
      <x:c r="B58" s="13" t="str">
        <x:v>FRONTEND GAPS CLOSED:</x:v>
      </x:c>
    </x:row>
    <x:row r="59">
      <x:c r="A59" s="13" t="n">
        <x:v>54</x:v>
      </x:c>
      <x:c r="B59" s="13" t="str">
        <x:v>VALIDATION COMMANDS RUN:</x:v>
      </x:c>
    </x:row>
    <x:row r="60">
      <x:c r="A60" s="13" t="n">
        <x:v>55</x:v>
      </x:c>
      <x:c r="B60" s="13" t="str">
        <x:v>VALIDATION RESULTS:</x:v>
      </x:c>
    </x:row>
    <x:row r="61">
      <x:c r="A61" s="13" t="n">
        <x:v>56</x:v>
      </x:c>
      <x:c r="B61" s="13" t="str">
        <x:v>RECEIPTS CREATED:</x:v>
      </x:c>
    </x:row>
    <x:row r="62">
      <x:c r="A62" s="13" t="n">
        <x:v>57</x:v>
      </x:c>
      <x:c r="B62" s="13" t="str">
        <x:v>MERGE READINESS:</x:v>
      </x:c>
    </x:row>
    <x:row r="63">
      <x:c r="A63" s="13" t="n">
        <x:v>58</x:v>
      </x:c>
      <x:c r="B63" s="13" t="str">
        <x:v>PRODUCTION READINESS:</x:v>
      </x:c>
    </x:row>
    <x:row r="64">
      <x:c r="A64" s="13" t="n">
        <x:v>59</x:v>
      </x:c>
      <x:c r="B64" s="13" t="str">
        <x:v>BLOCKERS:</x:v>
      </x:c>
    </x:row>
    <x:row r="65">
      <x:c r="A65" s="13" t="n">
        <x:v>60</x:v>
      </x:c>
      <x:c r="B65" s="13" t="str">
        <x:v>NEXT ACTIONS:</x:v>
      </x:c>
    </x:row>
    <x:row r="66">
      <x:c r="A66" s="13" t="n">
        <x:v>61</x:v>
      </x:c>
      <x:c r="B66" s="13" t="str"/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dd5fa3b1f18c4889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Frontend Validation Matrix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Validation commands and gates for frontend claims.</x:v>
      </x:c>
    </x:row>
    <x:row r="5">
      <x:c r="A5" s="20" t="str">
        <x:v>validation_id</x:v>
      </x:c>
      <x:c r="B5" s="20" t="str">
        <x:v>area</x:v>
      </x:c>
      <x:c r="C5" s="20" t="str">
        <x:v>command</x:v>
      </x:c>
      <x:c r="D5" s="20" t="str">
        <x:v>pass_condition</x:v>
      </x:c>
      <x:c r="E5" s="20" t="str">
        <x:v>failure_means</x:v>
      </x:c>
      <x:c r="F5" s="20" t="str">
        <x:v>receipt_path</x:v>
      </x:c>
      <x:c r="G5" s="20" t="str">
        <x:v>status</x:v>
      </x:c>
    </x:row>
    <x:row r="6">
      <x:c r="A6" s="13" t="str">
        <x:v>VAL-FE-001</x:v>
      </x:c>
      <x:c r="B6" s="13" t="str">
        <x:v>Workbook structure</x:v>
      </x:c>
      <x:c r="C6" s="13" t="str">
        <x:v>python scripts/workbook_validation/validate_frontend_ceiling_workbook.py 01_Builder_Docs/frontend-ceiling/AUTO_BUILDER_FRONTEND_CEILING_WORKBOOK.xlsx</x:v>
      </x:c>
      <x:c r="D6" s="13" t="str">
        <x:v>Required sheets/columns present</x:v>
      </x:c>
      <x:c r="E6" s="13" t="str">
        <x:v>Workbook cannot be source truth</x:v>
      </x:c>
      <x:c r="F6" s="13" t="str">
        <x:v>03_Bridge_Receipts/frontend/VALIDATOR_RECEIPT.md</x:v>
      </x:c>
      <x:c r="G6" s="13" t="str">
        <x:v>planned</x:v>
      </x:c>
    </x:row>
    <x:row r="7">
      <x:c r="A7" s="13" t="str">
        <x:v>VAL-FE-002</x:v>
      </x:c>
      <x:c r="B7" s="13" t="str">
        <x:v>Build</x:v>
      </x:c>
      <x:c r="C7" s="13" t="str">
        <x:v>npm run build</x:v>
      </x:c>
      <x:c r="D7" s="13" t="str">
        <x:v>Build succeeds</x:v>
      </x:c>
      <x:c r="E7" s="13" t="str">
        <x:v>Frontend cannot be merged as runtime code</x:v>
      </x:c>
      <x:c r="F7" s="13" t="str">
        <x:v>03_Bridge_Receipts/frontend/BUILD_RECEIPT.md</x:v>
      </x:c>
      <x:c r="G7" s="13" t="str">
        <x:v>conditional</x:v>
      </x:c>
    </x:row>
    <x:row r="8">
      <x:c r="A8" s="13" t="str">
        <x:v>VAL-FE-003</x:v>
      </x:c>
      <x:c r="B8" s="13" t="str">
        <x:v>Typecheck</x:v>
      </x:c>
      <x:c r="C8" s="13" t="str">
        <x:v>npx tsc --noEmit</x:v>
      </x:c>
      <x:c r="D8" s="13" t="str">
        <x:v>No TS errors</x:v>
      </x:c>
      <x:c r="E8" s="13" t="str">
        <x:v>Runtime code has type blockers</x:v>
      </x:c>
      <x:c r="F8" s="13" t="str">
        <x:v>03_Bridge_Receipts/frontend/TYPECHECK_RECEIPT.md</x:v>
      </x:c>
      <x:c r="G8" s="13" t="str">
        <x:v>conditional</x:v>
      </x:c>
    </x:row>
    <x:row r="9">
      <x:c r="A9" s="13" t="str">
        <x:v>VAL-FE-004</x:v>
      </x:c>
      <x:c r="B9" s="13" t="str">
        <x:v>Smoke</x:v>
      </x:c>
      <x:c r="C9" s="13" t="str">
        <x:v>npm run test:smoke</x:v>
      </x:c>
      <x:c r="D9" s="13" t="str">
        <x:v>Core surfaces pass</x:v>
      </x:c>
      <x:c r="E9" s="13" t="str">
        <x:v>User flows have blockers</x:v>
      </x:c>
      <x:c r="F9" s="13" t="str">
        <x:v>03_Bridge_Receipts/frontend/SMOKE_RECEIPT.md</x:v>
      </x:c>
      <x:c r="G9" s="13" t="str">
        <x:v>conditional</x:v>
      </x:c>
    </x:row>
    <x:row r="10">
      <x:c r="A10" s="13" t="str">
        <x:v>VAL-FE-005</x:v>
      </x:c>
      <x:c r="B10" s="13" t="str">
        <x:v>Responsive</x:v>
      </x:c>
      <x:c r="C10" s="13" t="str">
        <x:v>npx playwright test responsive.spec.ts</x:v>
      </x:c>
      <x:c r="D10" s="13" t="str">
        <x:v>Key surfaces pass viewports</x:v>
      </x:c>
      <x:c r="E10" s="13" t="str">
        <x:v>Mobile/tablet/desktop blocked</x:v>
      </x:c>
      <x:c r="F10" s="13" t="str">
        <x:v>03_Bridge_Receipts/frontend/RESPONSIVE_RECEIPT.md</x:v>
      </x:c>
      <x:c r="G10" s="13" t="str">
        <x:v>planned</x:v>
      </x:c>
    </x:row>
    <x:row r="11">
      <x:c r="A11" s="13" t="str">
        <x:v>VAL-FE-006</x:v>
      </x:c>
      <x:c r="B11" s="13" t="str">
        <x:v>A11y</x:v>
      </x:c>
      <x:c r="C11" s="13" t="str">
        <x:v>npm run test:a11y if present</x:v>
      </x:c>
      <x:c r="D11" s="13" t="str">
        <x:v>No critical issues</x:v>
      </x:c>
      <x:c r="E11" s="13" t="str">
        <x:v>Accessibility blockers remain</x:v>
      </x:c>
      <x:c r="F11" s="13" t="str">
        <x:v>03_Bridge_Receipts/frontend/A11Y_RECEIPT.md</x:v>
      </x:c>
      <x:c r="G11" s="13" t="str">
        <x:v>planned</x:v>
      </x:c>
    </x:row>
    <x:row r="12">
      <x:c r="A12" s="13" t="str">
        <x:v>VAL-FE-007</x:v>
      </x:c>
      <x:c r="B12" s="13" t="str">
        <x:v>Public safety</x:v>
      </x:c>
      <x:c r="C12" s="13" t="str">
        <x:v>python scripts/workbook_validation/validate_public_repo_boundaries.py</x:v>
      </x:c>
      <x:c r="D12" s="13" t="str">
        <x:v>No public secret/sensitive exposure</x:v>
      </x:c>
      <x:c r="E12" s="13" t="str">
        <x:v>Public repo safety blocked</x:v>
      </x:c>
      <x:c r="F12" s="13" t="str">
        <x:v>03_Bridge_Receipts/frontend/PUBLIC_SAFETY_RECEIPT.md</x:v>
      </x:c>
      <x:c r="G12" s="13" t="str">
        <x:v>planned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7242ca09aa9348a7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Receipts and Proof Index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Every frontend claim must point to proof.</x:v>
      </x:c>
    </x:row>
    <x:row r="5">
      <x:c r="A5" s="20" t="str">
        <x:v>receipt_id</x:v>
      </x:c>
      <x:c r="B5" s="20" t="str">
        <x:v>claim_area</x:v>
      </x:c>
      <x:c r="C5" s="20" t="str">
        <x:v>required_receipt_path</x:v>
      </x:c>
      <x:c r="D5" s="20" t="str">
        <x:v>proof_type</x:v>
      </x:c>
      <x:c r="E5" s="20" t="str">
        <x:v>owner</x:v>
      </x:c>
      <x:c r="F5" s="20" t="str">
        <x:v>status</x:v>
      </x:c>
      <x:c r="G5" s="20" t="str">
        <x:v>notes</x:v>
      </x:c>
    </x:row>
    <x:row r="6">
      <x:c r="A6" s="13" t="str">
        <x:v>R-FE-001</x:v>
      </x:c>
      <x:c r="B6" s="13" t="str">
        <x:v>Workbook install</x:v>
      </x:c>
      <x:c r="C6" s="13" t="str">
        <x:v>03_Bridge_Receipts/frontend/RECEIPT_FRONTEND_CEILING_WORKBOOK_INSTALL.md</x:v>
      </x:c>
      <x:c r="D6" s="13" t="str">
        <x:v>install receipt</x:v>
      </x:c>
      <x:c r="E6" s="13" t="str">
        <x:v>Codex</x:v>
      </x:c>
      <x:c r="F6" s="13" t="str">
        <x:v>missing</x:v>
      </x:c>
      <x:c r="G6" s="13" t="str">
        <x:v>Required after install.</x:v>
      </x:c>
    </x:row>
    <x:row r="7">
      <x:c r="A7" s="13" t="str">
        <x:v>R-FE-002</x:v>
      </x:c>
      <x:c r="B7" s="13" t="str">
        <x:v>Manifest registration</x:v>
      </x:c>
      <x:c r="C7" s="13" t="str">
        <x:v>03_Bridge_Receipts/frontend/MANIFEST_FRONTEND_CEILING_RECEIPT.md</x:v>
      </x:c>
      <x:c r="D7" s="13" t="str">
        <x:v>manifest diff</x:v>
      </x:c>
      <x:c r="E7" s="13" t="str">
        <x:v>Codex</x:v>
      </x:c>
      <x:c r="F7" s="13" t="str">
        <x:v>missing</x:v>
      </x:c>
      <x:c r="G7" s="13" t="str">
        <x:v>Proves workbook registered.</x:v>
      </x:c>
    </x:row>
    <x:row r="8">
      <x:c r="A8" s="13" t="str">
        <x:v>R-FE-003</x:v>
      </x:c>
      <x:c r="B8" s="13" t="str">
        <x:v>Build validation</x:v>
      </x:c>
      <x:c r="C8" s="13" t="str">
        <x:v>03_Bridge_Receipts/frontend/BUILD_RECEIPT.md</x:v>
      </x:c>
      <x:c r="D8" s="13" t="str">
        <x:v>command output</x:v>
      </x:c>
      <x:c r="E8" s="13" t="str">
        <x:v>Codex</x:v>
      </x:c>
      <x:c r="F8" s="13" t="str">
        <x:v>conditional</x:v>
      </x:c>
      <x:c r="G8" s="13" t="str">
        <x:v>Only if app exists.</x:v>
      </x:c>
    </x:row>
    <x:row r="9">
      <x:c r="A9" s="13" t="str">
        <x:v>R-FE-004</x:v>
      </x:c>
      <x:c r="B9" s="13" t="str">
        <x:v>Responsive validation</x:v>
      </x:c>
      <x:c r="C9" s="13" t="str">
        <x:v>03_Bridge_Receipts/frontend/RESPONSIVE_RECEIPT.md</x:v>
      </x:c>
      <x:c r="D9" s="13" t="str">
        <x:v>test output/screenshot references</x:v>
      </x:c>
      <x:c r="E9" s="13" t="str">
        <x:v>QA</x:v>
      </x:c>
      <x:c r="F9" s="13" t="str">
        <x:v>missing</x:v>
      </x:c>
      <x:c r="G9" s="13" t="str">
        <x:v>Required before frontend release.</x:v>
      </x:c>
    </x:row>
    <x:row r="10">
      <x:c r="A10" s="13" t="str">
        <x:v>R-FE-005</x:v>
      </x:c>
      <x:c r="B10" s="13" t="str">
        <x:v>Accessibility validation</x:v>
      </x:c>
      <x:c r="C10" s="13" t="str">
        <x:v>03_Bridge_Receipts/frontend/A11Y_RECEIPT.md</x:v>
      </x:c>
      <x:c r="D10" s="13" t="str">
        <x:v>audit output</x:v>
      </x:c>
      <x:c r="E10" s="13" t="str">
        <x:v>QA</x:v>
      </x:c>
      <x:c r="F10" s="13" t="str">
        <x:v>missing</x:v>
      </x:c>
      <x:c r="G10" s="13" t="str">
        <x:v>Required before public UI release.</x:v>
      </x:c>
    </x:row>
    <x:row r="11">
      <x:c r="A11" s="13" t="str">
        <x:v>R-FE-006</x:v>
      </x:c>
      <x:c r="B11" s="13" t="str">
        <x:v>Release gate</x:v>
      </x:c>
      <x:c r="C11" s="13" t="str">
        <x:v>03_Bridge_Receipts/frontend/FRONTEND_RELEASE_GATE_RECEIPT.md</x:v>
      </x:c>
      <x:c r="D11" s="13" t="str">
        <x:v>operator approval + checks</x:v>
      </x:c>
      <x:c r="E11" s="13" t="str">
        <x:v>Operator</x:v>
      </x:c>
      <x:c r="F11" s="13" t="str">
        <x:v>missing</x:v>
      </x:c>
      <x:c r="G11" s="13" t="str">
        <x:v>Required before production.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bee11003678f4a0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8" customHeight="1">
      <x:c r="A1" s="26" t="str">
        <x:v>Frontend Gap Ledger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The active command ledger for missing frontend work. Codex should update this after repo inspection.</x:v>
      </x:c>
    </x:row>
    <x:row r="5">
      <x:c r="A5" s="20" t="str">
        <x:v>gap_id</x:v>
      </x:c>
      <x:c r="B5" s="20" t="str">
        <x:v>frontend_layer</x:v>
      </x:c>
      <x:c r="C5" s="20" t="str">
        <x:v>item_name</x:v>
      </x:c>
      <x:c r="D5" s="20" t="str">
        <x:v>highest_requirement</x:v>
      </x:c>
      <x:c r="E5" s="20" t="str">
        <x:v>current_status</x:v>
      </x:c>
      <x:c r="F5" s="20" t="str">
        <x:v>severity</x:v>
      </x:c>
      <x:c r="G5" s="20" t="str">
        <x:v>evidence</x:v>
      </x:c>
      <x:c r="H5" s="20" t="str">
        <x:v>missing_evidence</x:v>
      </x:c>
      <x:c r="I5" s="20" t="str">
        <x:v>validation_command</x:v>
      </x:c>
      <x:c r="J5" s="20" t="str">
        <x:v>receipt_path</x:v>
      </x:c>
      <x:c r="K5" s="20" t="str">
        <x:v>owner</x:v>
      </x:c>
      <x:c r="L5" s="20" t="str">
        <x:v>next_action</x:v>
      </x:c>
      <x:c r="M5" s="20" t="str">
        <x:v>completion_status</x:v>
      </x:c>
    </x:row>
    <x:row r="6">
      <x:c r="A6" s="13" t="str">
        <x:v>FE-GAP-001</x:v>
      </x:c>
      <x:c r="B6" s="13" t="str">
        <x:v>Repo Map</x:v>
      </x:c>
      <x:c r="C6" s="13" t="str">
        <x:v>Root README frontend role</x:v>
      </x:c>
      <x:c r="D6" s="13" t="str">
        <x:v>Root README explains frontend workbook and variants</x:v>
      </x:c>
      <x:c r="E6" s="13" t="str">
        <x:v>unverified</x:v>
      </x:c>
      <x:c r="F6" s="13" t="str">
        <x:v>P1_high</x:v>
      </x:c>
      <x:c r="G6" s="13" t="str">
        <x:v>Main README currently minimal in prior audit</x:v>
      </x:c>
      <x:c r="H6" s="13" t="str">
        <x:v>Root README update</x:v>
      </x:c>
      <x:c r="I6" s="13" t="str">
        <x:v>manual review</x:v>
      </x:c>
      <x:c r="J6" s="13" t="str">
        <x:v>03_Bridge_Receipts/frontend/README_RECEIPT.md</x:v>
      </x:c>
      <x:c r="K6" s="13" t="str">
        <x:v>Codex</x:v>
      </x:c>
      <x:c r="L6" s="13" t="str">
        <x:v>Add frontend workbook section after install</x:v>
      </x:c>
      <x:c r="M6" s="13" t="str">
        <x:v>incomplete</x:v>
      </x:c>
    </x:row>
    <x:row r="7">
      <x:c r="A7" s="13" t="str">
        <x:v>FE-GAP-002</x:v>
      </x:c>
      <x:c r="B7" s="13" t="str">
        <x:v>Manifest</x:v>
      </x:c>
      <x:c r="C7" s="13" t="str">
        <x:v>Frontend workbook registration</x:v>
      </x:c>
      <x:c r="D7" s="13" t="str">
        <x:v>WORKBOOK_OS_MANIFEST includes frontend ceiling workbook</x:v>
      </x:c>
      <x:c r="E7" s="13" t="str">
        <x:v>missing</x:v>
      </x:c>
      <x:c r="F7" s="13" t="str">
        <x:v>P0_release_blocker</x:v>
      </x:c>
      <x:c r="G7" s="13" t="str">
        <x:v>Not registered yet</x:v>
      </x:c>
      <x:c r="H7" s="13" t="str">
        <x:v>Manifest update</x:v>
      </x:c>
      <x:c r="I7" s="13" t="str">
        <x:v>python scripts/workbook_validation/validate_manifest.py</x:v>
      </x:c>
      <x:c r="J7" s="13" t="str">
        <x:v>03_Bridge_Receipts/frontend/MANIFEST_FRONTEND_CEILING_RECEIPT.md</x:v>
      </x:c>
      <x:c r="K7" s="13" t="str">
        <x:v>Codex</x:v>
      </x:c>
      <x:c r="L7" s="13" t="str">
        <x:v>Register workbook path and rank</x:v>
      </x:c>
      <x:c r="M7" s="13" t="str">
        <x:v>incomplete</x:v>
      </x:c>
    </x:row>
    <x:row r="8">
      <x:c r="A8" s="13" t="str">
        <x:v>FE-GAP-003</x:v>
      </x:c>
      <x:c r="B8" s="13" t="str">
        <x:v>Validator</x:v>
      </x:c>
      <x:c r="C8" s="13" t="str">
        <x:v>Frontend workbook validator</x:v>
      </x:c>
      <x:c r="D8" s="13" t="str">
        <x:v>Validator confirms sheets, required columns, Codex prompt, source truth bridge</x:v>
      </x:c>
      <x:c r="E8" s="13" t="str">
        <x:v>missing</x:v>
      </x:c>
      <x:c r="F8" s="13" t="str">
        <x:v>P0_release_blocker</x:v>
      </x:c>
      <x:c r="G8" s="13" t="str">
        <x:v>No validator yet</x:v>
      </x:c>
      <x:c r="H8" s="13" t="str">
        <x:v>validator script</x:v>
      </x:c>
      <x:c r="I8" s="13" t="str">
        <x:v>python scripts/workbook_validation/validate_frontend_ceiling_workbook.py</x:v>
      </x:c>
      <x:c r="J8" s="13" t="str">
        <x:v>03_Bridge_Receipts/frontend/VALIDATOR_RECEIPT.md</x:v>
      </x:c>
      <x:c r="K8" s="13" t="str">
        <x:v>Codex</x:v>
      </x:c>
      <x:c r="L8" s="13" t="str">
        <x:v>Create validator</x:v>
      </x:c>
      <x:c r="M8" s="13" t="str">
        <x:v>incomplete</x:v>
      </x:c>
    </x:row>
    <x:row r="9">
      <x:c r="A9" s="13" t="str">
        <x:v>FE-GAP-004</x:v>
      </x:c>
      <x:c r="B9" s="13" t="str">
        <x:v>Components</x:v>
      </x:c>
      <x:c r="C9" s="13" t="str">
        <x:v>Component inventory</x:v>
      </x:c>
      <x:c r="D9" s="13" t="str">
        <x:v>Existing components mapped to 06_COMPONENT_LIBRARY</x:v>
      </x:c>
      <x:c r="E9" s="13" t="str">
        <x:v>unverified</x:v>
      </x:c>
      <x:c r="F9" s="13" t="str">
        <x:v>P1_high</x:v>
      </x:c>
      <x:c r="G9" s="13" t="str">
        <x:v>Repo not inspected in this workbook build</x:v>
      </x:c>
      <x:c r="H9" s="13" t="str">
        <x:v>Component inventory</x:v>
      </x:c>
      <x:c r="I9" s="13" t="str">
        <x:v>manual/code review</x:v>
      </x:c>
      <x:c r="J9" s="13" t="str">
        <x:v>03_Bridge_Receipts/frontend/COMPONENT_RECEIPT.md</x:v>
      </x:c>
      <x:c r="K9" s="13" t="str">
        <x:v>Codex</x:v>
      </x:c>
      <x:c r="L9" s="13" t="str">
        <x:v>Inspect components/* if present</x:v>
      </x:c>
      <x:c r="M9" s="13" t="str">
        <x:v>incomplete</x:v>
      </x:c>
    </x:row>
    <x:row r="10">
      <x:c r="A10" s="13" t="str">
        <x:v>FE-GAP-005</x:v>
      </x:c>
      <x:c r="B10" s="13" t="str">
        <x:v>Runtime</x:v>
      </x:c>
      <x:c r="C10" s="13" t="str">
        <x:v>Vercel/Next status</x:v>
      </x:c>
      <x:c r="D10" s="13" t="str">
        <x:v>No deployment claim unless runtime exists and receipts exist</x:v>
      </x:c>
      <x:c r="E10" s="13" t="str">
        <x:v>external_blocked</x:v>
      </x:c>
      <x:c r="F10" s="13" t="str">
        <x:v>P0_release_blocker</x:v>
      </x:c>
      <x:c r="G10" s="13" t="str">
        <x:v>No dedicated Vercel intelligence-cube project observed in prior audit</x:v>
      </x:c>
      <x:c r="H10" s="13" t="str">
        <x:v>Vercel project/deploy receipts</x:v>
      </x:c>
      <x:c r="I10" s="13" t="str">
        <x:v>vercel project/deploy checks</x:v>
      </x:c>
      <x:c r="J10" s="13" t="str">
        <x:v>03_Bridge_Receipts/vercel/FRONTEND_RUNTIME_RECEIPT.md</x:v>
      </x:c>
      <x:c r="K10" s="13" t="str">
        <x:v>Operator</x:v>
      </x:c>
      <x:c r="L10" s="13" t="str">
        <x:v>Decide later if repo becomes app</x:v>
      </x:c>
      <x:c r="M10" s="13" t="str">
        <x:v>externally_blocked_with_proof</x:v>
      </x:c>
    </x:row>
    <x:row r="11">
      <x:c r="A11" s="13" t="str">
        <x:v>FE-GAP-006</x:v>
      </x:c>
      <x:c r="B11" s="13" t="str">
        <x:v>Production</x:v>
      </x:c>
      <x:c r="C11" s="13" t="str">
        <x:v>Production readiness</x:v>
      </x:c>
      <x:c r="D11" s="13" t="str">
        <x:v>Production locked until env/auth/RLS/deploy/rollback/monitoring/operator receipts</x:v>
      </x:c>
      <x:c r="E11" s="13" t="str">
        <x:v>external_blocked</x:v>
      </x:c>
      <x:c r="F11" s="13" t="str">
        <x:v>P0_release_blocker</x:v>
      </x:c>
      <x:c r="G11" s="13" t="str">
        <x:v>No production approval</x:v>
      </x:c>
      <x:c r="H11" s="13" t="str">
        <x:v>Production receipts</x:v>
      </x:c>
      <x:c r="I11" s="13" t="str">
        <x:v>release gate review</x:v>
      </x:c>
      <x:c r="J11" s="13" t="str">
        <x:v>03_Bridge_Receipts/frontend/FRONTEND_RELEASE_GATE_RECEIPT.md</x:v>
      </x:c>
      <x:c r="K11" s="13" t="str">
        <x:v>Operator</x:v>
      </x:c>
      <x:c r="L11" s="13" t="str">
        <x:v>Keep locked</x:v>
      </x:c>
      <x:c r="M11" s="13" t="str">
        <x:v>externally_blocked_with_proof</x:v>
      </x:c>
    </x:row>
  </x:sheetData>
  <x:mergeCells>
    <x:mergeCell ref="A1:H1"/>
    <x:mergeCell ref="A2:H3"/>
  </x:mergeCells>
  <x:conditionalFormatting sqref="F6:F200">
    <x:cfRule type="expression" dxfId="0" priority="1">
      <x:formula>F6="P0_release_blocker"</x:formula>
    </x:cfRule>
  </x:conditionalFormatting>
  <x:conditionalFormatting sqref="M6:M200">
    <x:cfRule type="expression" dxfId="1" priority="2">
      <x:formula>M6="complete_with_proof"</x:formula>
    </x:cfRule>
    <x:cfRule type="expression" dxfId="2" priority="3">
      <x:formula>M6="incomplete"</x:formula>
    </x:cfRule>
  </x:conditionalFormatting>
  <x:dataValidations count="3">
    <x:dataValidation type="list" sqref="E6:E200">
      <x:formula1>"verified_complete,partially_complete,missing,unverified,external_blocked,approval_required,not_applicable,planned"</x:formula1>
    </x:dataValidation>
    <x:dataValidation type="list" sqref="F6:F200">
      <x:formula1>"P0_release_blocker,P1_high,P2_medium,P3_low,info"</x:formula1>
    </x:dataValidation>
    <x:dataValidation type="list" sqref="M6:M200">
      <x:formula1>"complete_with_proof,incomplete,externally_blocked_with_proof,approval_required,needs_human_review,not_applicable"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5402f2fc0e4ab5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</x:cols>
  <x:sheetData>
    <x:row r="1" ht="28" customHeight="1">
      <x:c r="A1" s="26" t="str">
        <x:v>Frontend Ceiling Scorecard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Formula-driven scorecard based on the gap ledger.</x:v>
      </x:c>
    </x:row>
    <x:row r="5">
      <x:c r="A5" s="20" t="str">
        <x:v>metric</x:v>
      </x:c>
      <x:c r="B5" s="20" t="str">
        <x:v>value</x:v>
      </x:c>
      <x:c r="C5" s="20" t="str">
        <x:v>notes</x:v>
      </x:c>
    </x:row>
    <x:row r="6">
      <x:c r="A6" s="13" t="str">
        <x:v>Total gaps</x:v>
      </x:c>
      <x:c r="B6" s="13" t="n">
        <x:f>COUNTA('18_GAP_LEDGER'!A6:A200)</x:f>
        <x:v>6</x:v>
      </x:c>
      <x:c r="C6" s="13" t="str">
        <x:v>All rows in gap ledger</x:v>
      </x:c>
    </x:row>
    <x:row r="7">
      <x:c r="A7" s="13" t="str">
        <x:v>Complete with proof</x:v>
      </x:c>
      <x:c r="B7" s="13" t="n">
        <x:f>COUNTIF('18_GAP_LEDGER'!M6:M200,"complete_with_proof")</x:f>
        <x:v>0</x:v>
      </x:c>
      <x:c r="C7" s="13" t="str">
        <x:v>Completion status</x:v>
      </x:c>
    </x:row>
    <x:row r="8">
      <x:c r="A8" s="13" t="str">
        <x:v>Incomplete</x:v>
      </x:c>
      <x:c r="B8" s="13" t="n">
        <x:f>COUNTIF('18_GAP_LEDGER'!M6:M200,"incomplete")</x:f>
        <x:v>4</x:v>
      </x:c>
      <x:c r="C8" s="13" t="str">
        <x:v>Open work</x:v>
      </x:c>
    </x:row>
    <x:row r="9">
      <x:c r="A9" s="13" t="str">
        <x:v>External blocked with proof</x:v>
      </x:c>
      <x:c r="B9" s="13" t="n">
        <x:f>COUNTIF('18_GAP_LEDGER'!M6:M200,"externally_blocked_with_proof")</x:f>
        <x:v>2</x:v>
      </x:c>
      <x:c r="C9" s="13" t="str">
        <x:v>Not production credit</x:v>
      </x:c>
    </x:row>
    <x:row r="10">
      <x:c r="A10" s="13" t="str">
        <x:v>P0 blockers</x:v>
      </x:c>
      <x:c r="B10" s="13" t="n">
        <x:f>COUNTIF('18_GAP_LEDGER'!F6:F200,"P0_release_blocker")</x:f>
        <x:v>4</x:v>
      </x:c>
      <x:c r="C10" s="13" t="str">
        <x:v>Severity count</x:v>
      </x:c>
    </x:row>
    <x:row r="11">
      <x:c r="A11" s="13" t="str">
        <x:v>Frontend Ceiling Score</x:v>
      </x:c>
      <x:c r="B11" s="13" t="n">
        <x:f>IF(B6=0,0,ROUND(((B7)+(B9*0.5))/B6*100,1))</x:f>
        <x:v>16.7</x:v>
      </x:c>
      <x:c r="C11" s="13" t="str">
        <x:v>Verified full credit, external blockers half credit</x:v>
      </x:c>
    </x:row>
    <x:row r="12">
      <x:c r="A12" s="13" t="str">
        <x:v>Merge Readiness</x:v>
      </x:c>
      <x:c r="B12" s="13" t="str">
        <x:v>Draft until P0 repo-side blockers complete or externally blocked with proof</x:v>
      </x:c>
      <x:c r="C12" s="13" t="str">
        <x:v>Governance decision</x:v>
      </x:c>
    </x:row>
    <x:row r="13">
      <x:c r="A13" s="13" t="str">
        <x:v>Production Readiness</x:v>
      </x:c>
      <x:c r="B13" s="13" t="str">
        <x:v>LOCKED</x:v>
      </x:c>
      <x:c r="C13" s="13" t="str">
        <x:v>Requires live receipts and operator approval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3d186660f9084f97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</x:cols>
  <x:sheetData>
    <x:row r="1" ht="28" customHeight="1">
      <x:c r="A1" s="26" t="str">
        <x:v>Final Operator Handoff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How to use the workbook after creation.</x:v>
      </x:c>
    </x:row>
    <x:row r="5">
      <x:c r="A5" s="20" t="str">
        <x:v>Field</x:v>
      </x:c>
      <x:c r="B5" s="20" t="str">
        <x:v>Instruction</x:v>
      </x:c>
    </x:row>
    <x:row r="6">
      <x:c r="A6" s="13" t="str">
        <x:v>Use case</x:v>
      </x:c>
      <x:c r="B6" s="13" t="str">
        <x:v>Use this when asking GPT, Codex, Base44, or another agent to plan, build, or audit frontend work.</x:v>
      </x:c>
    </x:row>
    <x:row r="7">
      <x:c r="A7" s="13" t="str">
        <x:v>First instruction</x:v>
      </x:c>
      <x:c r="B7" s="13" t="str">
        <x:v>Read 00_START_HERE, 02_SOURCE_TRUTH_BRIDGE, 03_CAPABILITY_MAP, 18_GAP_LEDGER, 19_SCORECARD, 15_CODEX_HANDOFF.</x:v>
      </x:c>
    </x:row>
    <x:row r="8">
      <x:c r="A8" s="13" t="str">
        <x:v>Repo install path</x:v>
      </x:c>
      <x:c r="B8" s="13" t="str">
        <x:v>01_Builder_Docs/frontend-ceiling/AUTO_BUILDER_FRONTEND_CEILING_WORKBOOK.xlsx</x:v>
      </x:c>
    </x:row>
    <x:row r="9">
      <x:c r="A9" s="13" t="str">
        <x:v>Merge strategy</x:v>
      </x:c>
      <x:c r="B9" s="13" t="str">
        <x:v>Install on a branch first. Do not push to main until validator and public safety checks pass.</x:v>
      </x:c>
    </x:row>
    <x:row r="10">
      <x:c r="A10" s="13" t="str">
        <x:v>Production strategy</x:v>
      </x:c>
      <x:c r="B10" s="13" t="str">
        <x:v>Do not deploy production until Vercel, env, Supabase/auth/RLS, rollback, monitoring, and operator approval receipts exist.</x:v>
      </x:c>
    </x:row>
    <x:row r="11">
      <x:c r="A11" s="13" t="str">
        <x:v>Variant strategy</x:v>
      </x:c>
      <x:c r="B11" s="13" t="str">
        <x:v>Use all-in-one repo ceiling workbook as main source truth. Use clean one-shot variant only when visual/screenshot/design parity rules are intentionally excluded.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8ded90d113d94808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</x:cols>
  <x:sheetData>
    <x:row r="1" ht="28" customHeight="1">
      <x:c r="A1" s="26" t="str">
        <x:v>Validation Lists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</x:row>
    <x:row r="2">
      <x:c r="A2" s="13" t="str">
        <x:v>Allowed statuses and controlled vocabulary.</x:v>
      </x:c>
    </x:row>
    <x:row r="5">
      <x:c r="A5" s="20" t="str">
        <x:v>list_name</x:v>
      </x:c>
      <x:c r="B5" s="20" t="str">
        <x:v>allowed_value</x:v>
      </x:c>
    </x:row>
    <x:row r="6">
      <x:c r="A6" s="13" t="str">
        <x:v>current_status</x:v>
      </x:c>
      <x:c r="B6" s="13" t="str">
        <x:v>verified_complete</x:v>
      </x:c>
    </x:row>
    <x:row r="7">
      <x:c r="A7" s="13" t="str">
        <x:v>current_status</x:v>
      </x:c>
      <x:c r="B7" s="13" t="str">
        <x:v>partially_complete</x:v>
      </x:c>
    </x:row>
    <x:row r="8">
      <x:c r="A8" s="13" t="str">
        <x:v>current_status</x:v>
      </x:c>
      <x:c r="B8" s="13" t="str">
        <x:v>missing</x:v>
      </x:c>
    </x:row>
    <x:row r="9">
      <x:c r="A9" s="13" t="str">
        <x:v>current_status</x:v>
      </x:c>
      <x:c r="B9" s="13" t="str">
        <x:v>unverified</x:v>
      </x:c>
    </x:row>
    <x:row r="10">
      <x:c r="A10" s="13" t="str">
        <x:v>current_status</x:v>
      </x:c>
      <x:c r="B10" s="13" t="str">
        <x:v>external_blocked</x:v>
      </x:c>
    </x:row>
    <x:row r="11">
      <x:c r="A11" s="13" t="str">
        <x:v>current_status</x:v>
      </x:c>
      <x:c r="B11" s="13" t="str">
        <x:v>approval_required</x:v>
      </x:c>
    </x:row>
    <x:row r="12">
      <x:c r="A12" s="13" t="str">
        <x:v>current_status</x:v>
      </x:c>
      <x:c r="B12" s="13" t="str">
        <x:v>not_applicable</x:v>
      </x:c>
    </x:row>
    <x:row r="13">
      <x:c r="A13" s="13" t="str">
        <x:v>current_status</x:v>
      </x:c>
      <x:c r="B13" s="13" t="str">
        <x:v>planned</x:v>
      </x:c>
    </x:row>
    <x:row r="14">
      <x:c r="A14" s="13" t="str">
        <x:v>severity</x:v>
      </x:c>
      <x:c r="B14" s="13" t="str">
        <x:v>P0_release_blocker</x:v>
      </x:c>
    </x:row>
    <x:row r="15">
      <x:c r="A15" s="13" t="str">
        <x:v>severity</x:v>
      </x:c>
      <x:c r="B15" s="13" t="str">
        <x:v>P1_high</x:v>
      </x:c>
    </x:row>
    <x:row r="16">
      <x:c r="A16" s="13" t="str">
        <x:v>severity</x:v>
      </x:c>
      <x:c r="B16" s="13" t="str">
        <x:v>P2_medium</x:v>
      </x:c>
    </x:row>
    <x:row r="17">
      <x:c r="A17" s="13" t="str">
        <x:v>severity</x:v>
      </x:c>
      <x:c r="B17" s="13" t="str">
        <x:v>P3_low</x:v>
      </x:c>
    </x:row>
    <x:row r="18">
      <x:c r="A18" s="13" t="str">
        <x:v>severity</x:v>
      </x:c>
      <x:c r="B18" s="13" t="str">
        <x:v>info</x:v>
      </x:c>
    </x:row>
    <x:row r="19">
      <x:c r="A19" s="13" t="str">
        <x:v>completion_status</x:v>
      </x:c>
      <x:c r="B19" s="13" t="str">
        <x:v>complete_with_proof</x:v>
      </x:c>
    </x:row>
    <x:row r="20">
      <x:c r="A20" s="13" t="str">
        <x:v>completion_status</x:v>
      </x:c>
      <x:c r="B20" s="13" t="str">
        <x:v>incomplete</x:v>
      </x:c>
    </x:row>
    <x:row r="21">
      <x:c r="A21" s="13" t="str">
        <x:v>completion_status</x:v>
      </x:c>
      <x:c r="B21" s="13" t="str">
        <x:v>externally_blocked_with_proof</x:v>
      </x:c>
    </x:row>
    <x:row r="22">
      <x:c r="A22" s="13" t="str">
        <x:v>completion_status</x:v>
      </x:c>
      <x:c r="B22" s="13" t="str">
        <x:v>approval_required</x:v>
      </x:c>
    </x:row>
    <x:row r="23">
      <x:c r="A23" s="13" t="str">
        <x:v>completion_status</x:v>
      </x:c>
      <x:c r="B23" s="13" t="str">
        <x:v>needs_human_review</x:v>
      </x:c>
    </x:row>
    <x:row r="24">
      <x:c r="A24" s="13" t="str">
        <x:v>completion_status</x:v>
      </x:c>
      <x:c r="B24" s="13" t="str">
        <x:v>not_applicable</x:v>
      </x:c>
    </x:row>
    <x:row r="25">
      <x:c r="A25" s="13" t="str">
        <x:v>task_classification</x:v>
      </x:c>
      <x:c r="B25" s="13" t="str">
        <x:v>draft</x:v>
      </x:c>
    </x:row>
    <x:row r="26">
      <x:c r="A26" s="13" t="str">
        <x:v>task_classification</x:v>
      </x:c>
      <x:c r="B26" s="13" t="str">
        <x:v>branch_safe</x:v>
      </x:c>
    </x:row>
    <x:row r="27">
      <x:c r="A27" s="13" t="str">
        <x:v>task_classification</x:v>
      </x:c>
      <x:c r="B27" s="13" t="str">
        <x:v>preview_safe</x:v>
      </x:c>
    </x:row>
    <x:row r="28">
      <x:c r="A28" s="13" t="str">
        <x:v>task_classification</x:v>
      </x:c>
      <x:c r="B28" s="13" t="str">
        <x:v>approval_required</x:v>
      </x:c>
    </x:row>
    <x:row r="29">
      <x:c r="A29" s="13" t="str">
        <x:v>task_classification</x:v>
      </x:c>
      <x:c r="B29" s="13" t="str">
        <x:v>external_blocked</x:v>
      </x:c>
    </x:row>
    <x:row r="30">
      <x:c r="A30" s="13" t="str">
        <x:v>task_classification</x:v>
      </x:c>
      <x:c r="B30" s="13" t="str">
        <x:v>production_locked</x:v>
      </x:c>
    </x:row>
    <x:row r="31">
      <x:c r="A31" s="13" t="str">
        <x:v>task_classification</x:v>
      </x:c>
      <x:c r="B31" s="13" t="str">
        <x:v>complete_with_receipt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d599c3ae4b444179"/>
  </x:tableParts>
</x:worksheet>
</file>