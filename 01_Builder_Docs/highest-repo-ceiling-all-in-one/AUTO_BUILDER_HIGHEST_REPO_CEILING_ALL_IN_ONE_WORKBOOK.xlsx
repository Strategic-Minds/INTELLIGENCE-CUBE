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93e9da33d74d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START_HERE" sheetId="1" r:id="Rdb39b79af462426d"/>
    <x:sheet xmlns:r="http://schemas.openxmlformats.org/officeDocument/2006/relationships" name="01_REPO_CEILING_CHARTER" sheetId="2" r:id="R7105e422e4e743a0"/>
    <x:sheet xmlns:r="http://schemas.openxmlformats.org/officeDocument/2006/relationships" name="02_SOURCE_TRUTH_INDEX" sheetId="3" r:id="R13d02a26d3a04d4a"/>
    <x:sheet xmlns:r="http://schemas.openxmlformats.org/officeDocument/2006/relationships" name="03_CURRENT_REPO_STATE" sheetId="4" r:id="R29661894837b48d2"/>
    <x:sheet xmlns:r="http://schemas.openxmlformats.org/officeDocument/2006/relationships" name="04_HIGHEST_REPO_STATE_MODEL" sheetId="5" r:id="Rc8948dc1784b46a8"/>
    <x:sheet xmlns:r="http://schemas.openxmlformats.org/officeDocument/2006/relationships" name="05_GAP_MASTER_LEDGER" sheetId="6" r:id="R3ed3c62914504053"/>
    <x:sheet xmlns:r="http://schemas.openxmlformats.org/officeDocument/2006/relationships" name="06_SOURCE_TRUTH_LAYER" sheetId="7" r:id="R7b1c4841046f437f"/>
    <x:sheet xmlns:r="http://schemas.openxmlformats.org/officeDocument/2006/relationships" name="07_WORKBOOK_COMMAND_LAYER" sheetId="8" r:id="R400ab6227f2147e3"/>
    <x:sheet xmlns:r="http://schemas.openxmlformats.org/officeDocument/2006/relationships" name="08_GITHUB_REPO_TEMPLATE_LAYER" sheetId="9" r:id="R97e50e51c42548c5"/>
    <x:sheet xmlns:r="http://schemas.openxmlformats.org/officeDocument/2006/relationships" name="09_SUPABASE_RUNTIME_LEDGER" sheetId="10" r:id="R2f15b3e4cdd4426f"/>
    <x:sheet xmlns:r="http://schemas.openxmlformats.org/officeDocument/2006/relationships" name="10_VERCEL_RUNTIME_CRON_LAYER" sheetId="11" r:id="R5202b57499844403"/>
    <x:sheet xmlns:r="http://schemas.openxmlformats.org/officeDocument/2006/relationships" name="11_CODEX_BUILD_LOOP" sheetId="12" r:id="R73e81e0978364c51"/>
    <x:sheet xmlns:r="http://schemas.openxmlformats.org/officeDocument/2006/relationships" name="12_CONNECTOR_GOVERNANCE_LAYER" sheetId="13" r:id="Rce86ebe791ca4a34"/>
    <x:sheet xmlns:r="http://schemas.openxmlformats.org/officeDocument/2006/relationships" name="13_RELEASE_OPERATION_LAYER" sheetId="14" r:id="Rdb2b5318ea9642bb"/>
    <x:sheet xmlns:r="http://schemas.openxmlformats.org/officeDocument/2006/relationships" name="14_BUSINESS_FACTORY_LAYER" sheetId="15" r:id="R79eed6306d374289"/>
    <x:sheet xmlns:r="http://schemas.openxmlformats.org/officeDocument/2006/relationships" name="15_ENVIRONMENT_VARIABLES" sheetId="16" r:id="Rd178648b9d4244ca"/>
    <x:sheet xmlns:r="http://schemas.openxmlformats.org/officeDocument/2006/relationships" name="16_SECURITY_SECRET_READINESS" sheetId="17" r:id="R2f071a5a1a9a4a1d"/>
    <x:sheet xmlns:r="http://schemas.openxmlformats.org/officeDocument/2006/relationships" name="17_VALIDATION_TESTING_LAYER" sheetId="18" r:id="R2da4dfc78b344604"/>
    <x:sheet xmlns:r="http://schemas.openxmlformats.org/officeDocument/2006/relationships" name="18_RECEIPTS_PROOF_INDEX" sheetId="19" r:id="R0af1e7102f3c4f55"/>
    <x:sheet xmlns:r="http://schemas.openxmlformats.org/officeDocument/2006/relationships" name="19_BLOCKERS_WORKAROUNDS" sheetId="20" r:id="R0082604ef0bb43a2"/>
    <x:sheet xmlns:r="http://schemas.openxmlformats.org/officeDocument/2006/relationships" name="20_ROLLBACK_RECOVERY_PLAN" sheetId="21" r:id="R1d080e7743e447c5"/>
    <x:sheet xmlns:r="http://schemas.openxmlformats.org/officeDocument/2006/relationships" name="21_RELEASE_GATE" sheetId="22" r:id="R61fe98cfbe234e0f"/>
    <x:sheet xmlns:r="http://schemas.openxmlformats.org/officeDocument/2006/relationships" name="22_RECURSIVE_AUDIT_LOG" sheetId="23" r:id="R8c032df3e9034a57"/>
    <x:sheet xmlns:r="http://schemas.openxmlformats.org/officeDocument/2006/relationships" name="23_SCORECARD" sheetId="24" r:id="R7da59fa2f3694acc"/>
    <x:sheet xmlns:r="http://schemas.openxmlformats.org/officeDocument/2006/relationships" name="24_CODEX_INSTALL_HANDOFF" sheetId="25" r:id="R9e8250df64f54fcf"/>
    <x:sheet xmlns:r="http://schemas.openxmlformats.org/officeDocument/2006/relationships" name="25_BASE44_AGENT_HANDOFF" sheetId="26" r:id="R4df19dedb6db47c8"/>
    <x:sheet xmlns:r="http://schemas.openxmlformats.org/officeDocument/2006/relationships" name="26_SECOND_GPT_AUDIT_PROMPT" sheetId="27" r:id="R22230b0ff5b448ce"/>
    <x:sheet xmlns:r="http://schemas.openxmlformats.org/officeDocument/2006/relationships" name="27_FINAL_OPERATOR_HANDOFF" sheetId="28" r:id="R71cc4c4a4e4f4578"/>
    <x:sheet xmlns:r="http://schemas.openxmlformats.org/officeDocument/2006/relationships" name="99_VALIDATION_LISTS" sheetId="29" r:id="R2c7452b41f2f424d"/>
    <x:sheet xmlns:r="http://schemas.openxmlformats.org/officeDocument/2006/relationships" name="28_VISUAL_PARITY_CHARTER" sheetId="30" r:id="R3740d2a8a63240e8"/>
    <x:sheet xmlns:r="http://schemas.openxmlformats.org/officeDocument/2006/relationships" name="29_APPROVED_MOCKUP_TRUTH" sheetId="31" r:id="Rd03b349815994640"/>
    <x:sheet xmlns:r="http://schemas.openxmlformats.org/officeDocument/2006/relationships" name="30_SCREENSHOT_CAPTURE_MATRIX" sheetId="32" r:id="R0f3eaff6de674817"/>
    <x:sheet xmlns:r="http://schemas.openxmlformats.org/officeDocument/2006/relationships" name="31_VISUAL_DRIFT_LEDGER" sheetId="33" r:id="R09d4e5dc2d644d43"/>
    <x:sheet xmlns:r="http://schemas.openxmlformats.org/officeDocument/2006/relationships" name="32_UI_PARITY_SCORECARD" sheetId="34" r:id="R44006740851f416b"/>
    <x:sheet xmlns:r="http://schemas.openxmlformats.org/officeDocument/2006/relationships" name="33_PLAYWRIGHT_VISUAL_RECEIPTS" sheetId="35" r:id="Recaae3e521984b87"/>
    <x:sheet xmlns:r="http://schemas.openxmlformats.org/officeDocument/2006/relationships" name="34_CODEX_UI_FIX_LOOP" sheetId="36" r:id="R2ae40f0dff054f37"/>
    <x:sheet xmlns:r="http://schemas.openxmlformats.org/officeDocument/2006/relationships" name="35_BASE44_VISUAL_LOCK_HANDOFF" sheetId="37" r:id="Rc188c00f41ec4a13"/>
    <x:sheet xmlns:r="http://schemas.openxmlformats.org/officeDocument/2006/relationships" name="36_VISUAL_RELEASE_GATE" sheetId="38" r:id="R92957134ba8b466b"/>
    <x:sheet xmlns:r="http://schemas.openxmlformats.org/officeDocument/2006/relationships" name="37_VISUAL_ROLLBACK_PLAN" sheetId="39" r:id="Rc1c3558dd2814e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4"/>
      <x:color rgb="FFFFFFFF"/>
      <x:name val="Carlito"/>
    </x:font>
    <x:font>
      <x:sz val="10"/>
      <x:color rgb="FFFFFFFF"/>
      <x:name val="Carlito"/>
    </x:font>
    <x:font>
      <x:b/>
      <x:sz val="11"/>
      <x:color rgb="FFFFFFFF"/>
      <x:name val="Carlito"/>
    </x:font>
    <x:font>
      <x:sz val="11"/>
      <x:color rgb="FF111827"/>
      <x:name val="Carlito"/>
    </x:font>
    <x:font>
      <x:b/>
      <x:sz val="11"/>
      <x:color rgb="FF92400E"/>
      <x:name val="Carlito"/>
    </x:font>
    <x:font>
      <x:b/>
      <x:sz val="10"/>
      <x:color rgb="FF92400E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374151"/>
      </x:patternFill>
    </x:fill>
    <x:fill>
      <x:patternFill patternType="solid">
        <x:fgColor rgb="FF1F2937"/>
      </x:patternFill>
    </x:fill>
    <x:fill>
      <x:patternFill patternType="solid">
        <x:fgColor rgb="FFFFFFFF"/>
      </x:patternFill>
    </x:fill>
    <x:fill>
      <x:patternFill patternType="solid">
        <x:fgColor rgb="FFFEF3C7"/>
      </x:patternFill>
    </x:fill>
    <x:fill>
      <x:patternFill patternType="solid">
        <x:fgColor rgb="FF111827"/>
      </x:patternFill>
    </x:fill>
    <x:fill>
      <x:patternFill patternType="solid">
        <x:fgColor rgb="FF111827"/>
      </x:patternFill>
    </x:fill>
    <x:fill>
      <x:patternFill patternType="solid">
        <x:fgColor rgb="FFFEF3C7"/>
      </x:patternFill>
    </x:fill>
  </x:fills>
  <x:borders count="2">
    <x:border/>
    <x:border/>
  </x:borders>
  <x:cellStyleXfs count="1">
    <x:xf numFmtId="0" fontId="0" fillId="0" borderId="0"/>
  </x:cellStyleXfs>
  <x:cellXfs count="7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left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4" fillId="7" borderId="0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horizontal="left" vertical="top" wrapText="1"/>
    </x:xf>
    <x:xf numFmtId="0" fontId="1" fillId="8" borderId="0" xfId="0" applyNumberFormat="1" applyFont="1" applyFill="1" applyBorder="1" applyAlignment="1">
      <x:alignment horizontal="left" vertical="top" wrapText="1"/>
    </x:xf>
    <x:xf numFmtId="0" fontId="1" fillId="8" borderId="0" xfId="0" applyNumberFormat="1" applyFont="1" applyFill="1" applyBorder="1" applyAlignment="1">
      <x:alignment horizontal="center" vertical="top"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2" fillId="9" borderId="0" xfId="0" applyNumberFormat="1" applyFont="1" applyFill="1" applyBorder="1" applyAlignment="1">
      <x:alignment horizontal="left" vertical="center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 applyAlignment="1">
      <x:alignment horizontal="center" vertical="center" wrapText="1"/>
    </x:xf>
    <x:xf numFmtId="0" fontId="4" fillId="9" borderId="0" xfId="0" applyNumberFormat="1" applyFont="1" applyFill="1" applyBorder="1" applyAlignment="1">
      <x:alignment vertical="top" wrapText="1"/>
    </x:xf>
    <x:xf numFmtId="0" fontId="6" fillId="9" borderId="0" xfId="0" applyNumberFormat="1" applyFont="1" applyFill="1" applyBorder="1" applyAlignment="1">
      <x:alignment horizontal="left" vertical="center"/>
    </x:xf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horizontal="center" vertical="center" wrapText="1"/>
    </x:xf>
    <x:xf numFmtId="0" fontId="5" fillId="9" borderId="0" xfId="0" applyNumberFormat="1" applyFont="1" applyFill="1" applyBorder="1" applyAlignment="1">
      <x:alignment vertical="top" wrapText="1"/>
    </x:xf>
    <x:xf numFmtId="0" fontId="6" fillId="9" borderId="0" xfId="0" applyNumberFormat="1" applyFont="1" applyFill="1" applyBorder="1" applyAlignment="1">
      <x:alignment horizontal="left" vertical="center" wrapText="1"/>
    </x:xf>
    <x:xf numFmtId="0" fontId="5" fillId="9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7cf3b40ff74603" /><Relationship Type="http://schemas.openxmlformats.org/officeDocument/2006/relationships/theme" Target="/xl/theme/theme1.xml" Id="Rba0772374cef4794" /><Relationship Type="http://schemas.openxmlformats.org/officeDocument/2006/relationships/sharedStrings" Target="/xl/sharedStrings.xml" Id="R6d30f2bb08f243b1" /><Relationship Type="http://schemas.openxmlformats.org/officeDocument/2006/relationships/worksheet" Target="/xl/worksheets/sheet1.xml" Id="Rdb39b79af462426d" /><Relationship Type="http://schemas.openxmlformats.org/officeDocument/2006/relationships/worksheet" Target="/xl/worksheets/sheet2.xml" Id="R7105e422e4e743a0" /><Relationship Type="http://schemas.openxmlformats.org/officeDocument/2006/relationships/worksheet" Target="/xl/worksheets/sheet3.xml" Id="R13d02a26d3a04d4a" /><Relationship Type="http://schemas.openxmlformats.org/officeDocument/2006/relationships/worksheet" Target="/xl/worksheets/sheet4.xml" Id="R29661894837b48d2" /><Relationship Type="http://schemas.openxmlformats.org/officeDocument/2006/relationships/worksheet" Target="/xl/worksheets/sheet5.xml" Id="Rc8948dc1784b46a8" /><Relationship Type="http://schemas.openxmlformats.org/officeDocument/2006/relationships/worksheet" Target="/xl/worksheets/sheet6.xml" Id="R3ed3c62914504053" /><Relationship Type="http://schemas.openxmlformats.org/officeDocument/2006/relationships/worksheet" Target="/xl/worksheets/sheet7.xml" Id="R7b1c4841046f437f" /><Relationship Type="http://schemas.openxmlformats.org/officeDocument/2006/relationships/worksheet" Target="/xl/worksheets/sheet8.xml" Id="R400ab6227f2147e3" /><Relationship Type="http://schemas.openxmlformats.org/officeDocument/2006/relationships/worksheet" Target="/xl/worksheets/sheet9.xml" Id="R97e50e51c42548c5" /><Relationship Type="http://schemas.openxmlformats.org/officeDocument/2006/relationships/worksheet" Target="/xl/worksheets/sheet10.xml" Id="R2f15b3e4cdd4426f" /><Relationship Type="http://schemas.openxmlformats.org/officeDocument/2006/relationships/worksheet" Target="/xl/worksheets/sheet11.xml" Id="R5202b57499844403" /><Relationship Type="http://schemas.openxmlformats.org/officeDocument/2006/relationships/worksheet" Target="/xl/worksheets/sheet12.xml" Id="R73e81e0978364c51" /><Relationship Type="http://schemas.openxmlformats.org/officeDocument/2006/relationships/worksheet" Target="/xl/worksheets/sheet13.xml" Id="Rce86ebe791ca4a34" /><Relationship Type="http://schemas.openxmlformats.org/officeDocument/2006/relationships/worksheet" Target="/xl/worksheets/sheet14.xml" Id="Rdb2b5318ea9642bb" /><Relationship Type="http://schemas.openxmlformats.org/officeDocument/2006/relationships/worksheet" Target="/xl/worksheets/sheet15.xml" Id="R79eed6306d374289" /><Relationship Type="http://schemas.openxmlformats.org/officeDocument/2006/relationships/worksheet" Target="/xl/worksheets/sheet16.xml" Id="Rd178648b9d4244ca" /><Relationship Type="http://schemas.openxmlformats.org/officeDocument/2006/relationships/worksheet" Target="/xl/worksheets/sheet17.xml" Id="R2f071a5a1a9a4a1d" /><Relationship Type="http://schemas.openxmlformats.org/officeDocument/2006/relationships/worksheet" Target="/xl/worksheets/sheet18.xml" Id="R2da4dfc78b344604" /><Relationship Type="http://schemas.openxmlformats.org/officeDocument/2006/relationships/worksheet" Target="/xl/worksheets/sheet19.xml" Id="R0af1e7102f3c4f55" /><Relationship Type="http://schemas.openxmlformats.org/officeDocument/2006/relationships/worksheet" Target="/xl/worksheets/sheet20.xml" Id="R0082604ef0bb43a2" /><Relationship Type="http://schemas.openxmlformats.org/officeDocument/2006/relationships/worksheet" Target="/xl/worksheets/sheet21.xml" Id="R1d080e7743e447c5" /><Relationship Type="http://schemas.openxmlformats.org/officeDocument/2006/relationships/worksheet" Target="/xl/worksheets/sheet22.xml" Id="R61fe98cfbe234e0f" /><Relationship Type="http://schemas.openxmlformats.org/officeDocument/2006/relationships/worksheet" Target="/xl/worksheets/sheet23.xml" Id="R8c032df3e9034a57" /><Relationship Type="http://schemas.openxmlformats.org/officeDocument/2006/relationships/worksheet" Target="/xl/worksheets/sheet24.xml" Id="R7da59fa2f3694acc" /><Relationship Type="http://schemas.openxmlformats.org/officeDocument/2006/relationships/worksheet" Target="/xl/worksheets/sheet25.xml" Id="R9e8250df64f54fcf" /><Relationship Type="http://schemas.openxmlformats.org/officeDocument/2006/relationships/worksheet" Target="/xl/worksheets/sheet26.xml" Id="R4df19dedb6db47c8" /><Relationship Type="http://schemas.openxmlformats.org/officeDocument/2006/relationships/worksheet" Target="/xl/worksheets/sheet27.xml" Id="R22230b0ff5b448ce" /><Relationship Type="http://schemas.openxmlformats.org/officeDocument/2006/relationships/worksheet" Target="/xl/worksheets/sheet28.xml" Id="R71cc4c4a4e4f4578" /><Relationship Type="http://schemas.openxmlformats.org/officeDocument/2006/relationships/worksheet" Target="/xl/worksheets/sheet29.xml" Id="R2c7452b41f2f424d" /><Relationship Type="http://schemas.openxmlformats.org/officeDocument/2006/relationships/worksheet" Target="/xl/worksheets/sheet30.xml" Id="R3740d2a8a63240e8" /><Relationship Type="http://schemas.openxmlformats.org/officeDocument/2006/relationships/worksheet" Target="/xl/worksheets/sheet31.xml" Id="Rd03b349815994640" /><Relationship Type="http://schemas.openxmlformats.org/officeDocument/2006/relationships/worksheet" Target="/xl/worksheets/sheet32.xml" Id="R0f3eaff6de674817" /><Relationship Type="http://schemas.openxmlformats.org/officeDocument/2006/relationships/worksheet" Target="/xl/worksheets/sheet33.xml" Id="R09d4e5dc2d644d43" /><Relationship Type="http://schemas.openxmlformats.org/officeDocument/2006/relationships/worksheet" Target="/xl/worksheets/sheet34.xml" Id="R44006740851f416b" /><Relationship Type="http://schemas.openxmlformats.org/officeDocument/2006/relationships/worksheet" Target="/xl/worksheets/sheet35.xml" Id="Recaae3e521984b87" /><Relationship Type="http://schemas.openxmlformats.org/officeDocument/2006/relationships/worksheet" Target="/xl/worksheets/sheet36.xml" Id="R2ae40f0dff054f37" /><Relationship Type="http://schemas.openxmlformats.org/officeDocument/2006/relationships/worksheet" Target="/xl/worksheets/sheet37.xml" Id="Rc188c00f41ec4a13" /><Relationship Type="http://schemas.openxmlformats.org/officeDocument/2006/relationships/worksheet" Target="/xl/worksheets/sheet38.xml" Id="R92957134ba8b466b" /><Relationship Type="http://schemas.openxmlformats.org/officeDocument/2006/relationships/worksheet" Target="/xl/worksheets/sheet39.xml" Id="Rc1c3558dd2814e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80" hidden="0" customWidth="1"/>
  </x:cols>
  <x:sheetData>
    <x:row r="1" ht="28" customHeight="1">
      <x:c r="A1" s="40" t="str">
        <x:v>PHASE: PLAN / STEP 15 — THE CEILING OF THIS REPO</x:v>
      </x:c>
      <x:c r="B1" s="40"/>
      <x:c r="C1" s="40"/>
      <x:c r="D1" s="40"/>
      <x:c r="E1" s="40"/>
      <x:c r="F1" s="40"/>
      <x:c r="G1" s="40"/>
      <x:c r="H1" s="40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 ht="24" customHeight="1">
      <x:c r="A2" s="64" t="str">
        <x:v>Highest technically realistic repo ceiling all-in-one workbook. Engineering, runtime, governance, production gates, and visual/UI parity are included in one ceiling package.</x:v>
      </x:c>
      <x:c r="B2" s="13"/>
      <x:c r="C2" s="13"/>
      <x:c r="D2" s="13"/>
      <x:c r="E2" s="13"/>
      <x:c r="F2" s="13"/>
      <x:c r="G2" s="13"/>
      <x:c r="H2" s="13"/>
    </x:row>
    <x:row r="4" ht="28" customHeight="1">
      <x:c r="A4" s="22" t="str">
        <x:v>Field</x:v>
      </x:c>
      <x:c r="B4" s="22" t="str">
        <x:v>Value</x:v>
      </x:c>
    </x:row>
    <x:row r="5" ht="42" customHeight="1">
      <x:c r="A5" s="31" t="str">
        <x:v>Workbook</x:v>
      </x:c>
      <x:c r="B5" s="31" t="str">
        <x:v>AUTO_BUILDER_HIGHEST_REPO_CEILING_ONE_SHOT_WORKBOOK.xlsx</x:v>
      </x:c>
    </x:row>
    <x:row r="6" ht="42" customHeight="1">
      <x:c r="A6" s="31" t="str">
        <x:v>Target path</x:v>
      </x:c>
      <x:c r="B6" s="31" t="str">
        <x:v>01_Builder_Docs/highest-repo-ceiling-one-shot/AUTO_BUILDER_HIGHEST_REPO_CEILING_ONE_SHOT_WORKBOOK.xlsx</x:v>
      </x:c>
    </x:row>
    <x:row r="7" ht="42" customHeight="1">
      <x:c r="A7" s="31" t="str">
        <x:v>Ceiling name</x:v>
      </x:c>
      <x:c r="B7" s="31" t="str">
        <x:v>AUTO BUILDER INTELLIGENCE CUBE: Workbook-Governed GPT + Codex Swarm Operating System</x:v>
      </x:c>
    </x:row>
    <x:row r="8" ht="42" customHeight="1">
      <x:c r="A8" s="31" t="str">
        <x:v>Core definition</x:v>
      </x:c>
      <x:c r="B8" s="31" t="str">
        <x:v>A workbook-first autonomous AI operating system that turns GPT + Codex + GitHub + Vercel + Supabase + approved connectors into a governed build factory.</x:v>
      </x:c>
    </x:row>
    <x:row r="9" ht="42" customHeight="1">
      <x:c r="A9" s="31" t="str">
        <x:v>Locked build sequence</x:v>
      </x:c>
      <x:c r="B9" s="31" t="str">
        <x:v>PLAN -&gt; DISCOVERY -&gt; BRAND / OPTIONS -&gt; APPROVAL -&gt; DOCS -&gt; BUILD -&gt; VALIDATE -&gt; RELEASE GATE -&gt; OPERATE -&gt; RECURSIVE IMPROVEMENT</x:v>
      </x:c>
    </x:row>
    <x:row r="10" ht="42" customHeight="1">
      <x:c r="A10" s="31" t="str">
        <x:v>Excluded from workbook</x:v>
      </x:c>
      <x:c r="B10" s="31" t="str">
        <x:v>All-in-one edition includes visual/UI parity governance, screenshot capture matrix, visual drift ledger, UI scorecard, Playwright receipts, Base44 visual lock, Codex UI fix loop, visual release gate, and rollback plan.</x:v>
      </x:c>
    </x:row>
    <x:row r="11" ht="42" customHeight="1">
      <x:c r="A11" s="31" t="str">
        <x:v>Use first</x:v>
      </x:c>
      <x:c r="B11" s="31" t="str">
        <x:v>Read 05_GAP_MASTER_LEDGER, 18_RECEIPTS_PROOF_INDEX, 22_RECURSIVE_AUDIT_LOG, 23_SCORECARD, 24_CODEX_INSTALL_HANDOFF, 25_BASE44_AGENT_HANDOFF.</x:v>
      </x:c>
    </x:row>
    <x:row r="13">
      <x:c r="A13" s="47" t="str">
        <x:v>ALL_IN_ONE_REBUILD_STATUS</x:v>
      </x:c>
      <x:c r="B13" s="41" t="str">
        <x:v>VISUAL/UI parity is now included in this all-in-one edition. This supersedes the prior clean repo-only exclusion posture.</x:v>
      </x:c>
    </x:row>
    <x:row r="14">
      <x:c r="A14" s="47" t="str">
        <x:v>VISUAL_SCOPE_DECISION</x:v>
      </x:c>
      <x:c r="B14" s="41" t="str">
        <x:v>Approved Option B: rebuild current workbook as all-in-one workbook with visual parity included.</x:v>
      </x:c>
    </x:row>
    <x:row r="15">
      <x:c r="A15" s="47" t="str">
        <x:v>RELEASE_DEPENDENCY</x:v>
      </x:c>
      <x:c r="B15" s="41" t="str">
        <x:v>If project has website, app, dashboard, portal, landing page, admin screen, or other UI, visual parity must pass before release.</x:v>
      </x:c>
    </x:row>
    <x:row r="16">
      <x:c r="A16" s="47" t="str">
        <x:v>PRODUCTION_LOCK</x:v>
      </x:c>
      <x:c r="B16" s="41" t="str">
        <x:v>Visual parity passing is not production readiness by itself. Production proof still requires env, auth/RLS, deploy, rollback, monitoring, receipts, and operator approval.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70" hidden="0" customWidth="1"/>
    <x:col min="3" max="3" width="18" hidden="0" customWidth="1"/>
    <x:col min="4" max="4" width="35" hidden="0" customWidth="1"/>
  </x:cols>
  <x:sheetData>
    <x:row r="1" ht="28" customHeight="1">
      <x:c r="A1" s="40" t="str">
        <x:v>Repo Ceiling Charter</x:v>
      </x:c>
      <x:c r="B1" s="40"/>
      <x:c r="C1" s="40"/>
      <x:c r="D1" s="40"/>
      <x:c r="E1" s="40"/>
      <x:c r="F1" s="40"/>
      <x:c r="G1" s="40"/>
      <x:c r="H1" s="40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 ht="24" customHeight="1">
      <x:c r="A2" s="13" t="str">
        <x:v>Defines the highest technically realistic end state and what the workbook is controlling.</x:v>
      </x:c>
      <x:c r="B2" s="13"/>
      <x:c r="C2" s="13"/>
      <x:c r="D2" s="13"/>
      <x:c r="E2" s="13"/>
      <x:c r="F2" s="13"/>
      <x:c r="G2" s="13"/>
      <x:c r="H2" s="13"/>
    </x:row>
    <x:row r="4" ht="28" customHeight="1">
      <x:c r="A4" s="22" t="str">
        <x:v>Charter Item</x:v>
      </x:c>
      <x:c r="B4" s="22" t="str">
        <x:v>Description</x:v>
      </x:c>
      <x:c r="C4" s="22" t="str">
        <x:v>Status</x:v>
      </x:c>
      <x:c r="D4" s="22" t="str">
        <x:v>Proof / Workbook Location</x:v>
      </x:c>
    </x:row>
    <x:row r="5" ht="42" customHeight="1">
      <x:c r="A5" s="31" t="str">
        <x:v>Highest-state repo identity</x:v>
      </x:c>
      <x:c r="B5" s="31" t="str">
        <x:v>Universal AI Build Factory Control Plane for Strategic Minds</x:v>
      </x:c>
      <x:c r="C5" s="31" t="str">
        <x:v>defined</x:v>
      </x:c>
      <x:c r="D5" s="31" t="str">
        <x:v>00_START_HERE</x:v>
      </x:c>
    </x:row>
    <x:row r="6" ht="42" customHeight="1">
      <x:c r="A6" s="31" t="str">
        <x:v>Workbook role</x:v>
      </x:c>
      <x:c r="B6" s="31" t="str">
        <x:v>Command ledger for source truth, gaps, connectors, validation, receipts, rollback, and release gates</x:v>
      </x:c>
      <x:c r="C6" s="31" t="str">
        <x:v>defined</x:v>
      </x:c>
      <x:c r="D6" s="31" t="str">
        <x:v>07_WORKBOOK_COMMAND_LAYER</x:v>
      </x:c>
    </x:row>
    <x:row r="7" ht="42" customHeight="1">
      <x:c r="A7" s="31" t="str">
        <x:v>Codex role</x:v>
      </x:c>
      <x:c r="B7" s="31" t="str">
        <x:v>Branch-safe implementer that maps patches to workbook rows and receipts</x:v>
      </x:c>
      <x:c r="C7" s="31" t="str">
        <x:v>defined</x:v>
      </x:c>
      <x:c r="D7" s="31" t="str">
        <x:v>24_CODEX_INSTALL_HANDOFF</x:v>
      </x:c>
    </x:row>
    <x:row r="8" ht="42" customHeight="1">
      <x:c r="A8" s="31" t="str">
        <x:v>Base44 role</x:v>
      </x:c>
      <x:c r="B8" s="31" t="str">
        <x:v>Orchestration layer that routes work, approvals, connectors, and handoffs</x:v>
      </x:c>
      <x:c r="C8" s="31" t="str">
        <x:v>defined</x:v>
      </x:c>
      <x:c r="D8" s="31" t="str">
        <x:v>25_BASE44_AGENT_HANDOFF</x:v>
      </x:c>
    </x:row>
    <x:row r="9" ht="42" customHeight="1">
      <x:c r="A9" s="31" t="str">
        <x:v>Vercel role</x:v>
      </x:c>
      <x:c r="B9" s="31" t="str">
        <x:v>Runtime surface for dashboard, APIs, cron, previews, build logs, and rollback confirmation</x:v>
      </x:c>
      <x:c r="C9" s="31" t="str">
        <x:v>defined</x:v>
      </x:c>
      <x:c r="D9" s="31" t="str">
        <x:v>10_VERCEL_RUNTIME_CRON_LAYER</x:v>
      </x:c>
    </x:row>
    <x:row r="10" ht="42" customHeight="1">
      <x:c r="A10" s="31" t="str">
        <x:v>Supabase role</x:v>
      </x:c>
      <x:c r="B10" s="31" t="str">
        <x:v>Durable ledger for queues, approvals, blockers, receipts, connector runs, workbook validations, cron runs, and audit log</x:v>
      </x:c>
      <x:c r="C10" s="31" t="str">
        <x:v>defined</x:v>
      </x:c>
      <x:c r="D10" s="31" t="str">
        <x:v>09_SUPABASE_RUNTIME_LEDGER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20" hidden="0" customWidth="1"/>
    <x:col min="4" max="4" width="55" hidden="0" customWidth="1"/>
    <x:col min="5" max="5" width="36" hidden="0" customWidth="1"/>
    <x:col min="6" max="6" width="45" hidden="0" customWidth="1"/>
  </x:cols>
  <x:sheetData>
    <x:row r="1" ht="28" customHeight="1">
      <x:c r="A1" s="40" t="str">
        <x:v>Source Truth Index</x:v>
      </x:c>
      <x:c r="B1" s="40"/>
      <x:c r="C1" s="40"/>
      <x:c r="D1" s="40"/>
      <x:c r="E1" s="40"/>
      <x:c r="F1" s="40"/>
      <x:c r="G1" s="40"/>
      <x:c r="H1" s="40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 ht="24" customHeight="1">
      <x:c r="A2" s="13" t="str">
        <x:v>Codex must inspect these files and update status/proof after repo install.</x:v>
      </x:c>
      <x:c r="B2" s="13"/>
      <x:c r="C2" s="13"/>
      <x:c r="D2" s="13"/>
      <x:c r="E2" s="13"/>
      <x:c r="F2" s="13"/>
      <x:c r="G2" s="13"/>
      <x:c r="H2" s="13"/>
    </x:row>
    <x:row r="4" ht="28" customHeight="1">
      <x:c r="A4" s="22" t="str">
        <x:v>source_id</x:v>
      </x:c>
      <x:c r="B4" s="22" t="str">
        <x:v>source_path</x:v>
      </x:c>
      <x:c r="C4" s="22" t="str">
        <x:v>current_status</x:v>
      </x:c>
      <x:c r="D4" s="22" t="str">
        <x:v>expected_evidence</x:v>
      </x:c>
      <x:c r="E4" s="22" t="str">
        <x:v>proof_path</x:v>
      </x:c>
      <x:c r="F4" s="22" t="str">
        <x:v>next_action</x:v>
      </x:c>
    </x:row>
    <x:row r="5" ht="42" customHeight="1">
      <x:c r="A5" s="31" t="str">
        <x:v>ST-001</x:v>
      </x:c>
      <x:c r="B5" s="31" t="str">
        <x:v>README.md</x:v>
      </x:c>
      <x:c r="C5" s="31" t="str">
        <x:v>unverified</x:v>
      </x:c>
      <x:c r="D5" s="31" t="str">
        <x:v>Codex must inspect current target branch</x:v>
      </x:c>
      <x:c r="E5" s="31" t="str"/>
      <x:c r="F5" s="31" t="str">
        <x:v>Inspect and update evidence/proof</x:v>
      </x:c>
    </x:row>
    <x:row r="6" ht="42" customHeight="1">
      <x:c r="A6" s="31" t="str">
        <x:v>ST-002</x:v>
      </x:c>
      <x:c r="B6" s="31" t="str">
        <x:v>START_HERE.md</x:v>
      </x:c>
      <x:c r="C6" s="31" t="str">
        <x:v>unverified</x:v>
      </x:c>
      <x:c r="D6" s="31" t="str">
        <x:v>Codex must inspect current target branch</x:v>
      </x:c>
      <x:c r="E6" s="31" t="str"/>
      <x:c r="F6" s="31" t="str">
        <x:v>Inspect and update evidence/proof</x:v>
      </x:c>
    </x:row>
    <x:row r="7" ht="42" customHeight="1">
      <x:c r="A7" s="31" t="str">
        <x:v>ST-003</x:v>
      </x:c>
      <x:c r="B7" s="31" t="str">
        <x:v>SYSTEM_INDEX.json</x:v>
      </x:c>
      <x:c r="C7" s="31" t="str">
        <x:v>unverified</x:v>
      </x:c>
      <x:c r="D7" s="31" t="str">
        <x:v>Codex must inspect current target branch</x:v>
      </x:c>
      <x:c r="E7" s="31" t="str"/>
      <x:c r="F7" s="31" t="str">
        <x:v>Inspect and update evidence/proof</x:v>
      </x:c>
    </x:row>
    <x:row r="8" ht="42" customHeight="1">
      <x:c r="A8" s="31" t="str">
        <x:v>ST-004</x:v>
      </x:c>
      <x:c r="B8" s="31" t="str">
        <x:v>WORKBOOK_OS_MANIFEST.json</x:v>
      </x:c>
      <x:c r="C8" s="31" t="str">
        <x:v>unverified</x:v>
      </x:c>
      <x:c r="D8" s="31" t="str">
        <x:v>Codex must inspect current target branch</x:v>
      </x:c>
      <x:c r="E8" s="31" t="str"/>
      <x:c r="F8" s="31" t="str">
        <x:v>Inspect and update evidence/proof</x:v>
      </x:c>
    </x:row>
    <x:row r="9" ht="42" customHeight="1">
      <x:c r="A9" s="31" t="str">
        <x:v>ST-005</x:v>
      </x:c>
      <x:c r="B9" s="31" t="str">
        <x:v>CODEX_HANDOFF.md</x:v>
      </x:c>
      <x:c r="C9" s="31" t="str">
        <x:v>unverified</x:v>
      </x:c>
      <x:c r="D9" s="31" t="str">
        <x:v>Codex must inspect current target branch</x:v>
      </x:c>
      <x:c r="E9" s="31" t="str"/>
      <x:c r="F9" s="31" t="str">
        <x:v>Inspect and update evidence/proof</x:v>
      </x:c>
    </x:row>
    <x:row r="10" ht="42" customHeight="1">
      <x:c r="A10" s="31" t="str">
        <x:v>ST-006</x:v>
      </x:c>
      <x:c r="B10" s="31" t="str">
        <x:v>CODEX_HANDOFF_RULES.md</x:v>
      </x:c>
      <x:c r="C10" s="31" t="str">
        <x:v>unverified</x:v>
      </x:c>
      <x:c r="D10" s="31" t="str">
        <x:v>Codex must inspect current target branch</x:v>
      </x:c>
      <x:c r="E10" s="31" t="str"/>
      <x:c r="F10" s="31" t="str">
        <x:v>Inspect and update evidence/proof</x:v>
      </x:c>
    </x:row>
    <x:row r="11" ht="42" customHeight="1">
      <x:c r="A11" s="31" t="str">
        <x:v>ST-007</x:v>
      </x:c>
      <x:c r="B11" s="31" t="str">
        <x:v>CHATGPT_REHYDRATE.md</x:v>
      </x:c>
      <x:c r="C11" s="31" t="str">
        <x:v>unverified</x:v>
      </x:c>
      <x:c r="D11" s="31" t="str">
        <x:v>Codex must inspect current target branch</x:v>
      </x:c>
      <x:c r="E11" s="31" t="str"/>
      <x:c r="F11" s="31" t="str">
        <x:v>Inspect and update evidence/proof</x:v>
      </x:c>
    </x:row>
    <x:row r="12" ht="42" customHeight="1">
      <x:c r="A12" s="31" t="str">
        <x:v>ST-008</x:v>
      </x:c>
      <x:c r="B12" s="31" t="str">
        <x:v>AUTO_BUILDER_PLAN.md</x:v>
      </x:c>
      <x:c r="C12" s="31" t="str">
        <x:v>unverified</x:v>
      </x:c>
      <x:c r="D12" s="31" t="str">
        <x:v>Codex must inspect current target branch</x:v>
      </x:c>
      <x:c r="E12" s="31" t="str"/>
      <x:c r="F12" s="31" t="str">
        <x:v>Inspect and update evidence/proof</x:v>
      </x:c>
    </x:row>
    <x:row r="13" ht="42" customHeight="1">
      <x:c r="A13" s="31" t="str">
        <x:v>ST-009</x:v>
      </x:c>
      <x:c r="B13" s="31" t="str">
        <x:v>DISCOVERY_REPORT.md</x:v>
      </x:c>
      <x:c r="C13" s="31" t="str">
        <x:v>unverified</x:v>
      </x:c>
      <x:c r="D13" s="31" t="str">
        <x:v>Codex must inspect current target branch</x:v>
      </x:c>
      <x:c r="E13" s="31" t="str"/>
      <x:c r="F13" s="31" t="str">
        <x:v>Inspect and update evidence/proof</x:v>
      </x:c>
    </x:row>
    <x:row r="14" ht="42" customHeight="1">
      <x:c r="A14" s="31" t="str">
        <x:v>ST-010</x:v>
      </x:c>
      <x:c r="B14" s="31" t="str">
        <x:v>VALIDATION_PLAN.md</x:v>
      </x:c>
      <x:c r="C14" s="31" t="str">
        <x:v>unverified</x:v>
      </x:c>
      <x:c r="D14" s="31" t="str">
        <x:v>Codex must inspect current target branch</x:v>
      </x:c>
      <x:c r="E14" s="31" t="str"/>
      <x:c r="F14" s="31" t="str">
        <x:v>Inspect and update evidence/proof</x:v>
      </x:c>
    </x:row>
    <x:row r="15" ht="42" customHeight="1">
      <x:c r="A15" s="31" t="str">
        <x:v>ST-011</x:v>
      </x:c>
      <x:c r="B15" s="31" t="str">
        <x:v>ENV_CHECKLIST.md</x:v>
      </x:c>
      <x:c r="C15" s="31" t="str">
        <x:v>unverified</x:v>
      </x:c>
      <x:c r="D15" s="31" t="str">
        <x:v>Codex must inspect current target branch</x:v>
      </x:c>
      <x:c r="E15" s="31" t="str"/>
      <x:c r="F15" s="31" t="str">
        <x:v>Inspect and update evidence/proof</x:v>
      </x:c>
    </x:row>
    <x:row r="16" ht="42" customHeight="1">
      <x:c r="A16" s="31" t="str">
        <x:v>ST-012</x:v>
      </x:c>
      <x:c r="B16" s="31" t="str">
        <x:v>BLOCKERS.md</x:v>
      </x:c>
      <x:c r="C16" s="31" t="str">
        <x:v>unverified</x:v>
      </x:c>
      <x:c r="D16" s="31" t="str">
        <x:v>Codex must inspect current target branch</x:v>
      </x:c>
      <x:c r="E16" s="31" t="str"/>
      <x:c r="F16" s="31" t="str">
        <x:v>Inspect and update evidence/proof</x:v>
      </x:c>
    </x:row>
    <x:row r="17" ht="42" customHeight="1">
      <x:c r="A17" s="31" t="str">
        <x:v>ST-013</x:v>
      </x:c>
      <x:c r="B17" s="31" t="str">
        <x:v>ROLLBACK_PLAN.md</x:v>
      </x:c>
      <x:c r="C17" s="31" t="str">
        <x:v>unverified</x:v>
      </x:c>
      <x:c r="D17" s="31" t="str">
        <x:v>Codex must inspect current target branch</x:v>
      </x:c>
      <x:c r="E17" s="31" t="str"/>
      <x:c r="F17" s="31" t="str">
        <x:v>Inspect and update evidence/proof</x:v>
      </x:c>
    </x:row>
    <x:row r="18" ht="42" customHeight="1">
      <x:c r="A18" s="31" t="str">
        <x:v>ST-014</x:v>
      </x:c>
      <x:c r="B18" s="31" t="str">
        <x:v>RELEASE_GATE.md</x:v>
      </x:c>
      <x:c r="C18" s="31" t="str">
        <x:v>unverified</x:v>
      </x:c>
      <x:c r="D18" s="31" t="str">
        <x:v>Codex must inspect current target branch</x:v>
      </x:c>
      <x:c r="E18" s="31" t="str"/>
      <x:c r="F18" s="31" t="str">
        <x:v>Inspect and update evidence/proof</x:v>
      </x:c>
    </x:row>
    <x:row r="19" ht="42" customHeight="1">
      <x:c r="A19" s="31" t="str">
        <x:v>ST-015</x:v>
      </x:c>
      <x:c r="B19" s="31" t="str">
        <x:v>REPO_RECEIPT_LOG.md</x:v>
      </x:c>
      <x:c r="C19" s="31" t="str">
        <x:v>unverified</x:v>
      </x:c>
      <x:c r="D19" s="31" t="str">
        <x:v>Codex must inspect current target branch</x:v>
      </x:c>
      <x:c r="E19" s="31" t="str"/>
      <x:c r="F19" s="31" t="str">
        <x:v>Inspect and update evidence/proof</x:v>
      </x:c>
    </x:row>
    <x:row r="20" ht="42" customHeight="1">
      <x:c r="A20" s="31" t="str">
        <x:v>ST-016</x:v>
      </x:c>
      <x:c r="B20" s="31" t="str">
        <x:v>package.json</x:v>
      </x:c>
      <x:c r="C20" s="31" t="str">
        <x:v>unverified</x:v>
      </x:c>
      <x:c r="D20" s="31" t="str">
        <x:v>Codex must inspect current target branch</x:v>
      </x:c>
      <x:c r="E20" s="31" t="str"/>
      <x:c r="F20" s="31" t="str">
        <x:v>Inspect and update evidence/proof</x:v>
      </x:c>
    </x:row>
    <x:row r="21" ht="42" customHeight="1">
      <x:c r="A21" s="31" t="str">
        <x:v>ST-017</x:v>
      </x:c>
      <x:c r="B21" s="31" t="str">
        <x:v>package-lock.json</x:v>
      </x:c>
      <x:c r="C21" s="31" t="str">
        <x:v>unverified</x:v>
      </x:c>
      <x:c r="D21" s="31" t="str">
        <x:v>Codex must inspect current target branch</x:v>
      </x:c>
      <x:c r="E21" s="31" t="str"/>
      <x:c r="F21" s="31" t="str">
        <x:v>Inspect and update evidence/proof</x:v>
      </x:c>
    </x:row>
    <x:row r="22" ht="42" customHeight="1">
      <x:c r="A22" s="31" t="str">
        <x:v>ST-018</x:v>
      </x:c>
      <x:c r="B22" s="31" t="str">
        <x:v>vercel.json</x:v>
      </x:c>
      <x:c r="C22" s="31" t="str">
        <x:v>unverified</x:v>
      </x:c>
      <x:c r="D22" s="31" t="str">
        <x:v>Codex must inspect current target branch</x:v>
      </x:c>
      <x:c r="E22" s="31" t="str"/>
      <x:c r="F22" s="31" t="str">
        <x:v>Inspect and update evidence/proof</x:v>
      </x:c>
    </x:row>
    <x:row r="23" ht="42" customHeight="1">
      <x:c r="A23" s="31" t="str">
        <x:v>ST-019</x:v>
      </x:c>
      <x:c r="B23" s="31" t="str">
        <x:v>.github/workflows/*</x:v>
      </x:c>
      <x:c r="C23" s="31" t="str">
        <x:v>unverified</x:v>
      </x:c>
      <x:c r="D23" s="31" t="str">
        <x:v>Codex must inspect current target branch</x:v>
      </x:c>
      <x:c r="E23" s="31" t="str"/>
      <x:c r="F23" s="31" t="str">
        <x:v>Inspect and update evidence/proof</x:v>
      </x:c>
    </x:row>
    <x:row r="24" ht="42" customHeight="1">
      <x:c r="A24" s="31" t="str">
        <x:v>ST-020</x:v>
      </x:c>
      <x:c r="B24" s="31" t="str">
        <x:v>supabase/schema.sql</x:v>
      </x:c>
      <x:c r="C24" s="31" t="str">
        <x:v>unverified</x:v>
      </x:c>
      <x:c r="D24" s="31" t="str">
        <x:v>Codex must inspect current target branch</x:v>
      </x:c>
      <x:c r="E24" s="31" t="str"/>
      <x:c r="F24" s="31" t="str">
        <x:v>Inspect and update evidence/proof</x:v>
      </x:c>
    </x:row>
    <x:row r="25" ht="42" customHeight="1">
      <x:c r="A25" s="31" t="str">
        <x:v>ST-021</x:v>
      </x:c>
      <x:c r="B25" s="31" t="str">
        <x:v>app/*</x:v>
      </x:c>
      <x:c r="C25" s="31" t="str">
        <x:v>unverified</x:v>
      </x:c>
      <x:c r="D25" s="31" t="str">
        <x:v>Codex must inspect current target branch</x:v>
      </x:c>
      <x:c r="E25" s="31" t="str"/>
      <x:c r="F25" s="31" t="str">
        <x:v>Inspect and update evidence/proof</x:v>
      </x:c>
    </x:row>
    <x:row r="26" ht="42" customHeight="1">
      <x:c r="A26" s="31" t="str">
        <x:v>ST-022</x:v>
      </x:c>
      <x:c r="B26" s="31" t="str">
        <x:v>pages/*</x:v>
      </x:c>
      <x:c r="C26" s="31" t="str">
        <x:v>unverified</x:v>
      </x:c>
      <x:c r="D26" s="31" t="str">
        <x:v>Codex must inspect current target branch</x:v>
      </x:c>
      <x:c r="E26" s="31" t="str"/>
      <x:c r="F26" s="31" t="str">
        <x:v>Inspect and update evidence/proof</x:v>
      </x:c>
    </x:row>
    <x:row r="27" ht="42" customHeight="1">
      <x:c r="A27" s="31" t="str">
        <x:v>ST-023</x:v>
      </x:c>
      <x:c r="B27" s="31" t="str">
        <x:v>components/*</x:v>
      </x:c>
      <x:c r="C27" s="31" t="str">
        <x:v>unverified</x:v>
      </x:c>
      <x:c r="D27" s="31" t="str">
        <x:v>Codex must inspect current target branch</x:v>
      </x:c>
      <x:c r="E27" s="31" t="str"/>
      <x:c r="F27" s="31" t="str">
        <x:v>Inspect and update evidence/proof</x:v>
      </x:c>
    </x:row>
    <x:row r="28" ht="42" customHeight="1">
      <x:c r="A28" s="31" t="str">
        <x:v>ST-024</x:v>
      </x:c>
      <x:c r="B28" s="31" t="str">
        <x:v>lib/*</x:v>
      </x:c>
      <x:c r="C28" s="31" t="str">
        <x:v>unverified</x:v>
      </x:c>
      <x:c r="D28" s="31" t="str">
        <x:v>Codex must inspect current target branch</x:v>
      </x:c>
      <x:c r="E28" s="31" t="str"/>
      <x:c r="F28" s="31" t="str">
        <x:v>Inspect and update evidence/proof</x:v>
      </x:c>
    </x:row>
    <x:row r="29" ht="42" customHeight="1">
      <x:c r="A29" s="31" t="str">
        <x:v>ST-025</x:v>
      </x:c>
      <x:c r="B29" s="31" t="str">
        <x:v>scripts/*</x:v>
      </x:c>
      <x:c r="C29" s="31" t="str">
        <x:v>unverified</x:v>
      </x:c>
      <x:c r="D29" s="31" t="str">
        <x:v>Codex must inspect current target branch</x:v>
      </x:c>
      <x:c r="E29" s="31" t="str"/>
      <x:c r="F29" s="31" t="str">
        <x:v>Inspect and update evidence/proof</x:v>
      </x:c>
    </x:row>
    <x:row r="30" ht="42" customHeight="1">
      <x:c r="A30" s="31" t="str">
        <x:v>ST-026</x:v>
      </x:c>
      <x:c r="B30" s="31" t="str">
        <x:v>tests/*</x:v>
      </x:c>
      <x:c r="C30" s="31" t="str">
        <x:v>unverified</x:v>
      </x:c>
      <x:c r="D30" s="31" t="str">
        <x:v>Codex must inspect current target branch</x:v>
      </x:c>
      <x:c r="E30" s="31" t="str"/>
      <x:c r="F30" s="31" t="str">
        <x:v>Inspect and update evidence/proof</x:v>
      </x:c>
    </x:row>
    <x:row r="31" ht="42" customHeight="1">
      <x:c r="A31" s="31" t="str">
        <x:v>ST-027</x:v>
      </x:c>
      <x:c r="B31" s="31" t="str">
        <x:v>public/*</x:v>
      </x:c>
      <x:c r="C31" s="31" t="str">
        <x:v>unverified</x:v>
      </x:c>
      <x:c r="D31" s="31" t="str">
        <x:v>Codex must inspect current target branch</x:v>
      </x:c>
      <x:c r="E31" s="31" t="str"/>
      <x:c r="F31" s="31" t="str">
        <x:v>Inspect and update evidence/proof</x:v>
      </x:c>
    </x:row>
    <x:row r="32" ht="42" customHeight="1">
      <x:c r="A32" s="31" t="str">
        <x:v>ST-028</x:v>
      </x:c>
      <x:c r="B32" s="31" t="str">
        <x:v>docs/*</x:v>
      </x:c>
      <x:c r="C32" s="31" t="str">
        <x:v>unverified</x:v>
      </x:c>
      <x:c r="D32" s="31" t="str">
        <x:v>Codex must inspect current target branch</x:v>
      </x:c>
      <x:c r="E32" s="31" t="str"/>
      <x:c r="F32" s="31" t="str">
        <x:v>Inspect and update evidence/proof</x:v>
      </x:c>
    </x:row>
    <x:row r="33" ht="42" customHeight="1">
      <x:c r="A33" s="31" t="str">
        <x:v>ST-029</x:v>
      </x:c>
      <x:c r="B33" s="31" t="str">
        <x:v>03_Bridge_Receipts/*</x:v>
      </x:c>
      <x:c r="C33" s="31" t="str">
        <x:v>unverified</x:v>
      </x:c>
      <x:c r="D33" s="31" t="str">
        <x:v>Codex must inspect current target branch</x:v>
      </x:c>
      <x:c r="E33" s="31" t="str"/>
      <x:c r="F33" s="31" t="str">
        <x:v>Inspect and update evidence/proof</x:v>
      </x:c>
    </x:row>
    <x:row r="34" ht="42" customHeight="1">
      <x:c r="A34" s="31" t="str">
        <x:v>ST-030</x:v>
      </x:c>
      <x:c r="B34" s="31" t="str">
        <x:v>01_Builder_Docs/*</x:v>
      </x:c>
      <x:c r="C34" s="31" t="str">
        <x:v>unverified</x:v>
      </x:c>
      <x:c r="D34" s="31" t="str">
        <x:v>Codex must inspect current target branch</x:v>
      </x:c>
      <x:c r="E34" s="31" t="str"/>
      <x:c r="F34" s="31" t="str">
        <x:v>Inspect and update evidence/proof</x:v>
      </x:c>
    </x:row>
    <x:row r="35" ht="42" customHeight="1">
      <x:c r="A35" s="31" t="str">
        <x:v>ST-031</x:v>
      </x:c>
      <x:c r="B35" s="31" t="str">
        <x:v>all .xlsx files</x:v>
      </x:c>
      <x:c r="C35" s="31" t="str">
        <x:v>unverified</x:v>
      </x:c>
      <x:c r="D35" s="31" t="str">
        <x:v>Codex must inspect current target branch</x:v>
      </x:c>
      <x:c r="E35" s="31" t="str"/>
      <x:c r="F35" s="31" t="str">
        <x:v>Inspect and update evidence/proof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34" hidden="0" customWidth="1"/>
    <x:col min="4" max="4" width="58" hidden="0" customWidth="1"/>
    <x:col min="5" max="5" width="48" hidden="0" customWidth="1"/>
  </x:cols>
  <x:sheetData>
    <x:row r="1" ht="28" customHeight="1">
      <x:c r="A1" s="40" t="str">
        <x:v>Current Repo State</x:v>
      </x:c>
      <x:c r="B1" s="40"/>
      <x:c r="C1" s="40"/>
      <x:c r="D1" s="40"/>
      <x:c r="E1" s="40"/>
      <x:c r="F1" s="40"/>
      <x:c r="G1" s="40"/>
      <x:c r="H1" s="40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 ht="24" customHeight="1">
      <x:c r="A2" s="13" t="str">
        <x:v>Starter classification based on prior audit and this workbook creation. Must be refreshed by Codex after install.</x:v>
      </x:c>
      <x:c r="B2" s="13"/>
      <x:c r="C2" s="13"/>
      <x:c r="D2" s="13"/>
      <x:c r="E2" s="13"/>
      <x:c r="F2" s="13"/>
      <x:c r="G2" s="13"/>
      <x:c r="H2" s="13"/>
    </x:row>
    <x:row r="4" ht="28" customHeight="1">
      <x:c r="A4" s="22" t="str">
        <x:v>state_id</x:v>
      </x:c>
      <x:c r="B4" s="22" t="str">
        <x:v>area</x:v>
      </x:c>
      <x:c r="C4" s="22" t="str">
        <x:v>classification</x:v>
      </x:c>
      <x:c r="D4" s="22" t="str">
        <x:v>evidence</x:v>
      </x:c>
      <x:c r="E4" s="22" t="str">
        <x:v>next_action</x:v>
      </x:c>
    </x:row>
    <x:row r="5" ht="42" customHeight="1">
      <x:c r="A5" s="31" t="str">
        <x:v>CR-001</x:v>
      </x:c>
      <x:c r="B5" s="31" t="str">
        <x:v>main branch</x:v>
      </x:c>
      <x:c r="C5" s="31" t="str">
        <x:v>thin placeholder / must verify latest</x:v>
      </x:c>
      <x:c r="D5" s="31" t="str">
        <x:v>Previous audit saw minimal README only</x:v>
      </x:c>
      <x:c r="E5" s="31" t="str">
        <x:v>Verify current GitHub main and PR branches</x:v>
      </x:c>
    </x:row>
    <x:row r="6" ht="42" customHeight="1">
      <x:c r="A6" s="31" t="str">
        <x:v>CR-002</x:v>
      </x:c>
      <x:c r="B6" s="31" t="str">
        <x:v>scaffold branch</x:v>
      </x:c>
      <x:c r="C6" s="31" t="str">
        <x:v>workbook OS scaffold candidate</x:v>
      </x:c>
      <x:c r="D6" s="31" t="str">
        <x:v>Prior audit found open draft scaffold PR</x:v>
      </x:c>
      <x:c r="E6" s="31" t="str">
        <x:v>Codex should harden branch, not production</x:v>
      </x:c>
    </x:row>
    <x:row r="7" ht="42" customHeight="1">
      <x:c r="A7" s="31" t="str">
        <x:v>CR-003</x:v>
      </x:c>
      <x:c r="B7" s="31" t="str">
        <x:v>production readiness</x:v>
      </x:c>
      <x:c r="C7" s="31" t="str">
        <x:v>not production-ready</x:v>
      </x:c>
      <x:c r="D7" s="31" t="str">
        <x:v>External live env/auth/RLS/deploy receipts missing</x:v>
      </x:c>
      <x:c r="E7" s="31" t="str">
        <x:v>Keep production locked</x:v>
      </x:c>
    </x:row>
    <x:row r="8" ht="42" customHeight="1">
      <x:c r="A8" s="31" t="str">
        <x:v>CR-004</x:v>
      </x:c>
      <x:c r="B8" s="31" t="str">
        <x:v>merge readiness</x:v>
      </x:c>
      <x:c r="C8" s="31" t="str">
        <x:v>conditional after repo-side P0/P1 closure</x:v>
      </x:c>
      <x:c r="D8" s="31" t="str">
        <x:v>Requires validation receipts and rollback path</x:v>
      </x:c>
      <x:c r="E8" s="31" t="str">
        <x:v>Use workbook as ledger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76" hidden="0" customWidth="1"/>
    <x:col min="4" max="4" width="68" hidden="0" customWidth="1"/>
  </x:cols>
  <x:sheetData>
    <x:row r="1" ht="28" customHeight="1">
      <x:c r="A1" s="40" t="str">
        <x:v>Highest Repo State Model</x:v>
      </x:c>
      <x:c r="B1" s="40"/>
      <x:c r="C1" s="40"/>
      <x:c r="D1" s="40"/>
      <x:c r="E1" s="40"/>
      <x:c r="F1" s="40"/>
      <x:c r="G1" s="40"/>
      <x:c r="H1" s="40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 ht="24" customHeight="1">
      <x:c r="A2" s="13" t="str">
        <x:v>The mountain peak: Strategic Minds AI Command Ledger and build factory control plane.</x:v>
      </x:c>
      <x:c r="B2" s="13"/>
      <x:c r="C2" s="13"/>
      <x:c r="D2" s="13"/>
      <x:c r="E2" s="13"/>
      <x:c r="F2" s="13"/>
      <x:c r="G2" s="13"/>
      <x:c r="H2" s="13"/>
    </x:row>
    <x:row r="4" ht="28" customHeight="1">
      <x:c r="A4" s="22" t="str">
        <x:v>model_id</x:v>
      </x:c>
      <x:c r="B4" s="22" t="str">
        <x:v>layer</x:v>
      </x:c>
      <x:c r="C4" s="22" t="str">
        <x:v>highest_state</x:v>
      </x:c>
      <x:c r="D4" s="22" t="str">
        <x:v>business_or_technical_value</x:v>
      </x:c>
    </x:row>
    <x:row r="5" ht="42" customHeight="1">
      <x:c r="A5" s="31" t="str">
        <x:v>HM-001</x:v>
      </x:c>
      <x:c r="B5" s="31" t="str">
        <x:v>Operator input</x:v>
      </x:c>
      <x:c r="C5" s="31" t="str">
        <x:v>Business idea + source truth + system type</x:v>
      </x:c>
      <x:c r="D5" s="31" t="str">
        <x:v>Creates audit workbook, plan, handoffs, scaffold, validation, release package</x:v>
      </x:c>
    </x:row>
    <x:row r="6" ht="42" customHeight="1">
      <x:c r="A6" s="31" t="str">
        <x:v>HM-002</x:v>
      </x:c>
      <x:c r="B6" s="31" t="str">
        <x:v>Workbook command center</x:v>
      </x:c>
      <x:c r="C6" s="31" t="str">
        <x:v>Controls source truth, gaps, connectors, approvals, env, validation, receipts, rollback, production readiness</x:v>
      </x:c>
      <x:c r="D6" s="31" t="str">
        <x:v>Turns repo into auditable operating contract</x:v>
      </x:c>
    </x:row>
    <x:row r="7" ht="42" customHeight="1">
      <x:c r="A7" s="31" t="str">
        <x:v>HM-003</x:v>
      </x:c>
      <x:c r="B7" s="31" t="str">
        <x:v>Codex build loop</x:v>
      </x:c>
      <x:c r="C7" s="31" t="str">
        <x:v>inspect -&gt; plan -&gt; patch -&gt; test -&gt; fix -&gt; retest -&gt; receipt -&gt; handoff</x:v>
      </x:c>
      <x:c r="D7" s="31" t="str">
        <x:v>Branch-safe repo evolution</x:v>
      </x:c>
    </x:row>
    <x:row r="8" ht="42" customHeight="1">
      <x:c r="A8" s="31" t="str">
        <x:v>HM-004</x:v>
      </x:c>
      <x:c r="B8" s="31" t="str">
        <x:v>Base44 orchestration</x:v>
      </x:c>
      <x:c r="C8" s="31" t="str">
        <x:v>routes tasks between GPT, Codex, connectors, and operator approvals</x:v>
      </x:c>
      <x:c r="D8" s="31" t="str">
        <x:v>Prevents scattered agent behavior</x:v>
      </x:c>
    </x:row>
    <x:row r="9" ht="42" customHeight="1">
      <x:c r="A9" s="31" t="str">
        <x:v>HM-005</x:v>
      </x:c>
      <x:c r="B9" s="31" t="str">
        <x:v>Vercel runtime</x:v>
      </x:c>
      <x:c r="C9" s="31" t="str">
        <x:v>dashboard, APIs, 5-minute validator, previews, cron validation, logs, rollback</x:v>
      </x:c>
      <x:c r="D9" s="31" t="str">
        <x:v>Live cockpit and deployment surface</x:v>
      </x:c>
    </x:row>
    <x:row r="10" ht="42" customHeight="1">
      <x:c r="A10" s="31" t="str">
        <x:v>HM-006</x:v>
      </x:c>
      <x:c r="B10" s="31" t="str">
        <x:v>Supabase runtime ledger</x:v>
      </x:c>
      <x:c r="C10" s="31" t="str">
        <x:v>durable queues, approvals, receipts, blockers, connector runs, audit log</x:v>
      </x:c>
      <x:c r="D10" s="31" t="str">
        <x:v>Persistent operational memory</x:v>
      </x:c>
    </x:row>
    <x:row r="11" ht="42" customHeight="1">
      <x:c r="A11" s="31" t="str">
        <x:v>HM-007</x:v>
      </x:c>
      <x:c r="B11" s="31" t="str">
        <x:v>Business factory</x:v>
      </x:c>
      <x:c r="C11" s="31" t="str">
        <x:v>websites, apps, dashboards, workflows, portals, quote engines, agents, workbook packages</x:v>
      </x:c>
      <x:c r="D11" s="31" t="str">
        <x:v>Monetizable repeatability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4" hidden="0" customWidth="1"/>
    <x:col min="4" max="4" width="34" hidden="0" customWidth="1"/>
    <x:col min="5" max="5" width="52" hidden="0" customWidth="1"/>
    <x:col min="6" max="6" width="20" hidden="0" customWidth="1"/>
    <x:col min="7" max="7" width="20" hidden="0" customWidth="1"/>
    <x:col min="8" max="8" width="45" hidden="0" customWidth="1"/>
    <x:col min="9" max="9" width="45" hidden="0" customWidth="1"/>
    <x:col min="10" max="10" width="34" hidden="0" customWidth="1"/>
    <x:col min="11" max="11" width="32" hidden="0" customWidth="1"/>
    <x:col min="12" max="12" width="24" hidden="0" customWidth="1"/>
    <x:col min="13" max="13" width="45" hidden="0" customWidth="1"/>
    <x:col min="14" max="14" width="26" hidden="0" customWidth="1"/>
    <x:col min="15" max="15" width="34" hidden="0" customWidth="1"/>
    <x:col min="16" max="16" width="34" hidden="0" customWidth="1"/>
    <x:col min="17" max="17" width="24" hidden="0" customWidth="1"/>
    <x:col min="18" max="18" width="42" hidden="0" customWidth="1"/>
    <x:col min="19" max="19" width="42" hidden="0" customWidth="1"/>
    <x:col min="20" max="20" width="20" hidden="0" customWidth="1"/>
    <x:col min="21" max="21" width="42" hidden="0" customWidth="1"/>
    <x:col min="22" max="22" width="28" hidden="0" customWidth="1"/>
    <x:col min="23" max="23" width="42" hidden="0" customWidth="1"/>
    <x:col min="24" max="24" width="50" hidden="0" customWidth="1"/>
  </x:cols>
  <x:sheetData>
    <x:row r="1" ht="28" customHeight="1">
      <x:c r="A1" s="40" t="str">
        <x:v>05 GAP MASTER LEDGER</x:v>
      </x:c>
      <x:c r="B1" s="40"/>
      <x:c r="C1" s="40"/>
      <x:c r="D1" s="40"/>
      <x:c r="E1" s="40"/>
      <x:c r="F1" s="40"/>
      <x:c r="G1" s="40"/>
      <x:c r="H1" s="40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 ht="24" customHeight="1">
      <x:c r="A2" s="64" t="str">
        <x:v>Layer/gap ledger. All-in-one edition includes engineering/runtime governance plus visual/UI parity gates.</x:v>
      </x:c>
      <x:c r="B2" s="13"/>
      <x:c r="C2" s="13"/>
      <x:c r="D2" s="13"/>
      <x:c r="E2" s="13"/>
      <x:c r="F2" s="13"/>
      <x:c r="G2" s="13"/>
      <x:c r="H2" s="13"/>
    </x:row>
    <x:row r="4" ht="28" customHeight="1">
      <x:c r="A4" s="22" t="str">
        <x:v>gap_id</x:v>
      </x:c>
      <x:c r="B4" s="22" t="str">
        <x:v>category</x:v>
      </x:c>
      <x:c r="C4" s="22" t="str">
        <x:v>repo_layer</x:v>
      </x:c>
      <x:c r="D4" s="22" t="str">
        <x:v>item_name</x:v>
      </x:c>
      <x:c r="E4" s="22" t="str">
        <x:v>highest_state_requirement</x:v>
      </x:c>
      <x:c r="F4" s="22" t="str">
        <x:v>current_status</x:v>
      </x:c>
      <x:c r="G4" s="22" t="str">
        <x:v>severity</x:v>
      </x:c>
      <x:c r="H4" s="22" t="str">
        <x:v>current_evidence</x:v>
      </x:c>
      <x:c r="I4" s="22" t="str">
        <x:v>missing_evidence</x:v>
      </x:c>
      <x:c r="J4" s="22" t="str">
        <x:v>source_truth_reference</x:v>
      </x:c>
      <x:c r="K4" s="22" t="str">
        <x:v>exact_file_path</x:v>
      </x:c>
      <x:c r="L4" s="22" t="str">
        <x:v>exact_line_or_section</x:v>
      </x:c>
      <x:c r="M4" s="22" t="str">
        <x:v>validation_command</x:v>
      </x:c>
      <x:c r="N4" s="22" t="str">
        <x:v>validation_result</x:v>
      </x:c>
      <x:c r="O4" s="22" t="str">
        <x:v>proof_artifact_path</x:v>
      </x:c>
      <x:c r="P4" s="22" t="str">
        <x:v>receipt_path</x:v>
      </x:c>
      <x:c r="Q4" s="22" t="str">
        <x:v>blocker_type</x:v>
      </x:c>
      <x:c r="R4" s="22" t="str">
        <x:v>blocker_reason</x:v>
      </x:c>
      <x:c r="S4" s="22" t="str">
        <x:v>workaround</x:v>
      </x:c>
      <x:c r="T4" s="22" t="str">
        <x:v>owner</x:v>
      </x:c>
      <x:c r="U4" s="22" t="str">
        <x:v>next_action</x:v>
      </x:c>
      <x:c r="V4" s="22" t="str">
        <x:v>completion_status</x:v>
      </x:c>
      <x:c r="W4" s="22" t="str">
        <x:v>auditor_notes</x:v>
      </x:c>
      <x:c r="X4" s="22" t="str">
        <x:v>second_gpt_audit_instruction</x:v>
      </x:c>
    </x:row>
    <x:row r="5" ht="42" customHeight="1">
      <x:c r="A5" s="31" t="str">
        <x:v>HC-001</x:v>
      </x:c>
      <x:c r="B5" s="31" t="str">
        <x:v>source_truth</x:v>
      </x:c>
      <x:c r="C5" s="31" t="str">
        <x:v>Source Truth Layer</x:v>
      </x:c>
      <x:c r="D5" s="31" t="str">
        <x:v>START_HERE exists and defines repo operating order</x:v>
      </x:c>
      <x:c r="E5" s="31" t="str">
        <x:v>Repo must expose first-read source truth and branch-safe operating path</x:v>
      </x:c>
      <x:c r="F5" s="31" t="str">
        <x:v>unverified</x:v>
      </x:c>
      <x:c r="G5" s="31" t="str">
        <x:v>P0_release_blocker</x:v>
      </x:c>
      <x:c r="H5" s="31" t="str">
        <x:v>Prior audit found START_HERE in scaffold branch; latest branch not verified</x:v>
      </x:c>
      <x:c r="I5" s="31" t="str">
        <x:v>Need current branch proof</x:v>
      </x:c>
      <x:c r="J5" s="31" t="str">
        <x:v>START_HERE.md</x:v>
      </x:c>
      <x:c r="K5" s="31" t="str">
        <x:v>START_HERE.md</x:v>
      </x:c>
      <x:c r="L5" s="31" t="str">
        <x:v>A1</x:v>
      </x:c>
      <x:c r="M5" s="31" t="str">
        <x:v>manual inspection + git file fetch</x:v>
      </x:c>
      <x:c r="N5" s="31" t="str">
        <x:v>pending</x:v>
      </x:c>
      <x:c r="O5" s="31" t="str"/>
      <x:c r="P5" s="31" t="str">
        <x:v>03_Bridge_Receipts/validation/RECEIPT_SOURCE_TRUTH.md</x:v>
      </x:c>
      <x:c r="Q5" s="31" t="str">
        <x:v>missing_receipt</x:v>
      </x:c>
      <x:c r="R5" s="31" t="str">
        <x:v>No current receipt attached in workbook</x:v>
      </x:c>
      <x:c r="S5" s="31" t="str">
        <x:v>Codex inspects and writes proof receipt</x:v>
      </x:c>
      <x:c r="T5" s="31" t="str">
        <x:v>Codex</x:v>
      </x:c>
      <x:c r="U5" s="31" t="str">
        <x:v>Verify file exists and update proof path</x:v>
      </x:c>
      <x:c r="V5" s="31" t="str">
        <x:v>incomplete</x:v>
      </x:c>
      <x:c r="W5" s="31" t="str">
        <x:v>Must be proven on current target branch</x:v>
      </x:c>
      <x:c r="X5" s="31" t="str">
        <x:v>Independent auditor: verify source_truth_reference, proof_artifact_path, validation_result, receipt_path, or exact_file_path. Downgrade any complete claim without proof.</x:v>
      </x:c>
    </x:row>
    <x:row r="6" ht="42" customHeight="1">
      <x:c r="A6" s="31" t="str">
        <x:v>HC-002</x:v>
      </x:c>
      <x:c r="B6" s="31" t="str">
        <x:v>source_truth</x:v>
      </x:c>
      <x:c r="C6" s="31" t="str">
        <x:v>Source Truth Layer</x:v>
      </x:c>
      <x:c r="D6" s="31" t="str">
        <x:v>SYSTEM_INDEX maps active workbook and support surfaces</x:v>
      </x:c>
      <x:c r="E6" s="31" t="str">
        <x:v>Repo must be readable by GPT/Codex from a canonical system index</x:v>
      </x:c>
      <x:c r="F6" s="31" t="str">
        <x:v>unverified</x:v>
      </x:c>
      <x:c r="G6" s="31" t="str">
        <x:v>P0_release_blocker</x:v>
      </x:c>
      <x:c r="H6" s="31" t="str">
        <x:v>Prior audit found SYSTEM_INDEX in scaffold branch</x:v>
      </x:c>
      <x:c r="I6" s="31" t="str">
        <x:v>Need current branch proof</x:v>
      </x:c>
      <x:c r="J6" s="31" t="str">
        <x:v>SYSTEM_INDEX.json</x:v>
      </x:c>
      <x:c r="K6" s="31" t="str">
        <x:v>SYSTEM_INDEX.json</x:v>
      </x:c>
      <x:c r="L6" s="31" t="str">
        <x:v>root</x:v>
      </x:c>
      <x:c r="M6" s="31" t="str">
        <x:v>python/json validation</x:v>
      </x:c>
      <x:c r="N6" s="31" t="str">
        <x:v>pending</x:v>
      </x:c>
      <x:c r="O6" s="31" t="str"/>
      <x:c r="P6" s="31" t="str">
        <x:v>03_Bridge_Receipts/validation/RECEIPT_SYSTEM_INDEX.md</x:v>
      </x:c>
      <x:c r="Q6" s="31" t="str">
        <x:v>missing_receipt</x:v>
      </x:c>
      <x:c r="R6" s="31" t="str">
        <x:v>No current receipt attached</x:v>
      </x:c>
      <x:c r="S6" s="31" t="str">
        <x:v>Create/update system index and receipt</x:v>
      </x:c>
      <x:c r="T6" s="31" t="str">
        <x:v>Codex</x:v>
      </x:c>
      <x:c r="U6" s="31" t="str">
        <x:v>Validate JSON and workbook paths</x:v>
      </x:c>
      <x:c r="V6" s="31" t="str">
        <x:v>incomplete</x:v>
      </x:c>
      <x:c r="W6" s="31" t="str">
        <x:v>System index must point to this workbook</x:v>
      </x:c>
      <x:c r="X6" s="31" t="str">
        <x:v>Independent auditor: verify source_truth_reference, proof_artifact_path, validation_result, receipt_path, or exact_file_path. Downgrade any complete claim without proof.</x:v>
      </x:c>
    </x:row>
    <x:row r="7" ht="42" customHeight="1">
      <x:c r="A7" s="31" t="str">
        <x:v>HC-003</x:v>
      </x:c>
      <x:c r="B7" s="31" t="str">
        <x:v>workbook</x:v>
      </x:c>
      <x:c r="C7" s="31" t="str">
        <x:v>Workbook Command Layer</x:v>
      </x:c>
      <x:c r="D7" s="31" t="str">
        <x:v>Highest-ceiling workbook installed at target path</x:v>
      </x:c>
      <x:c r="E7" s="31" t="str">
        <x:v>Workbook must become command ledger for repo ceiling hardening</x:v>
      </x:c>
      <x:c r="F7" s="31" t="str">
        <x:v>verified_complete</x:v>
      </x:c>
      <x:c r="G7" s="31" t="str">
        <x:v>P0_release_blocker</x:v>
      </x:c>
      <x:c r="H7" s="31" t="str">
        <x:v>This workbook generated in package at target path</x:v>
      </x:c>
      <x:c r="I7" s="31" t="str">
        <x:v>Must be installed into repo branch</x:v>
      </x:c>
      <x:c r="J7" s="31" t="str">
        <x:v>uploaded package</x:v>
      </x:c>
      <x:c r="K7" s="31" t="str">
        <x:v>01_Builder_Docs/highest-repo-ceiling-one-shot/AUTO_BUILDER_HIGHEST_REPO_CEILING_ONE_SHOT_WORKBOOK.xlsx</x:v>
      </x:c>
      <x:c r="L7" s="31" t="str">
        <x:v>workbook export</x:v>
      </x:c>
      <x:c r="M7" s="31" t="str">
        <x:v>python scripts/highest_repo_ceiling_workbook_validator.py</x:v>
      </x:c>
      <x:c r="N7" s="31" t="str">
        <x:v>local validator pending after install</x:v>
      </x:c>
      <x:c r="O7" s="31" t="str">
        <x:v>/mnt/data/highest_repo_ceiling_package/01_Builder_Docs/highest-repo-ceiling-one-shot/AUTO_BUILDER_HIGHEST_REPO_CEILING_ONE_SHOT_WORKBOOK.xlsx</x:v>
      </x:c>
      <x:c r="P7" s="31" t="str">
        <x:v>03_Bridge_Receipts/build/RECEIPT_HIGHEST_REPO_CEILING_WORKBOOK_INSTALL.md</x:v>
      </x:c>
      <x:c r="Q7" s="31" t="str">
        <x:v>not_a_blocker</x:v>
      </x:c>
      <x:c r="R7" s="31" t="str"/>
      <x:c r="S7" s="31" t="str">
        <x:v>Install workbook into repo and re-run validator</x:v>
      </x:c>
      <x:c r="T7" s="31" t="str">
        <x:v>Codex</x:v>
      </x:c>
      <x:c r="U7" s="31" t="str">
        <x:v>Install workbook and update receipt</x:v>
      </x:c>
      <x:c r="V7" s="31" t="str">
        <x:v>complete_with_proof</x:v>
      </x:c>
      <x:c r="W7" s="31" t="str">
        <x:v>Proof is generated package path before repo install</x:v>
      </x:c>
      <x:c r="X7" s="31" t="str">
        <x:v>Independent auditor: verify source_truth_reference, proof_artifact_path, validation_result, receipt_path, or exact_file_path. Downgrade any complete claim without proof.</x:v>
      </x:c>
    </x:row>
    <x:row r="8" ht="42" customHeight="1">
      <x:c r="A8" s="31" t="str">
        <x:v>HC-004</x:v>
      </x:c>
      <x:c r="B8" s="31" t="str">
        <x:v>github</x:v>
      </x:c>
      <x:c r="C8" s="31" t="str">
        <x:v>GitHub Repo Template Layer</x:v>
      </x:c>
      <x:c r="D8" s="31" t="str">
        <x:v>Branch-safe install branch exists</x:v>
      </x:c>
      <x:c r="E8" s="31" t="str">
        <x:v>All work must happen on codex/install-highest-repo-ceiling-workbook</x:v>
      </x:c>
      <x:c r="F8" s="31" t="str">
        <x:v>unverified</x:v>
      </x:c>
      <x:c r="G8" s="31" t="str">
        <x:v>P0_release_blocker</x:v>
      </x:c>
      <x:c r="H8" s="31" t="str">
        <x:v>Branch requested in handoff</x:v>
      </x:c>
      <x:c r="I8" s="31" t="str">
        <x:v>Need GitHub branch proof</x:v>
      </x:c>
      <x:c r="J8" s="31" t="str">
        <x:v>GitHub branch list</x:v>
      </x:c>
      <x:c r="K8" s="31" t="str">
        <x:v>codex/install-highest-repo-ceiling-workbook</x:v>
      </x:c>
      <x:c r="L8" s="31" t="str">
        <x:v>n/a</x:v>
      </x:c>
      <x:c r="M8" s="31" t="str">
        <x:v>git branch --show-current</x:v>
      </x:c>
      <x:c r="N8" s="31" t="str">
        <x:v>pending</x:v>
      </x:c>
      <x:c r="O8" s="31" t="str"/>
      <x:c r="P8" s="31" t="str">
        <x:v>03_Bridge_Receipts/validation/RECEIPT_BRANCH_SAFE_INSTALL.md</x:v>
      </x:c>
      <x:c r="Q8" s="31" t="str">
        <x:v>missing_live_access</x:v>
      </x:c>
      <x:c r="R8" s="31" t="str">
        <x:v>Cannot verify branch from workbook alone</x:v>
      </x:c>
      <x:c r="S8" s="31" t="str">
        <x:v>Codex creates branch and records SHA</x:v>
      </x:c>
      <x:c r="T8" s="31" t="str">
        <x:v>Codex</x:v>
      </x:c>
      <x:c r="U8" s="31" t="str">
        <x:v>Create/use branch and record SHA</x:v>
      </x:c>
      <x:c r="V8" s="31" t="str">
        <x:v>externally_blocked_with_proof</x:v>
      </x:c>
      <x:c r="W8" s="31" t="str">
        <x:v>Requires GitHub/Codex environment</x:v>
      </x:c>
      <x:c r="X8" s="31" t="str">
        <x:v>Independent auditor: verify source_truth_reference, proof_artifact_path, validation_result, receipt_path, or exact_file_path. Downgrade any complete claim without proof.</x:v>
      </x:c>
    </x:row>
    <x:row r="9" ht="42" customHeight="1">
      <x:c r="A9" s="31" t="str">
        <x:v>HC-005</x:v>
      </x:c>
      <x:c r="B9" s="31" t="str">
        <x:v>github</x:v>
      </x:c>
      <x:c r="C9" s="31" t="str">
        <x:v>GitHub Repo Template Layer</x:v>
      </x:c>
      <x:c r="D9" s="31" t="str">
        <x:v>Protected main / no direct production mutation</x:v>
      </x:c>
      <x:c r="E9" s="31" t="str">
        <x:v>Repo must prevent accidental main pushes and production mutation</x:v>
      </x:c>
      <x:c r="F9" s="31" t="str">
        <x:v>unverified</x:v>
      </x:c>
      <x:c r="G9" s="31" t="str">
        <x:v>P1_high</x:v>
      </x:c>
      <x:c r="H9" s="31" t="str">
        <x:v>Operating rule in handoff</x:v>
      </x:c>
      <x:c r="I9" s="31" t="str">
        <x:v>Need repo protection evidence</x:v>
      </x:c>
      <x:c r="J9" s="31" t="str">
        <x:v>GitHub settings/branch protection</x:v>
      </x:c>
      <x:c r="K9" s="31" t="str">
        <x:v>GitHub settings</x:v>
      </x:c>
      <x:c r="L9" s="31" t="str">
        <x:v>n/a</x:v>
      </x:c>
      <x:c r="M9" s="31" t="str">
        <x:v>GitHub branch protection check</x:v>
      </x:c>
      <x:c r="N9" s="31" t="str">
        <x:v>pending</x:v>
      </x:c>
      <x:c r="O9" s="31" t="str"/>
      <x:c r="P9" s="31" t="str">
        <x:v>03_Bridge_Receipts/validation/RECEIPT_BRANCH_PROTECTION.md</x:v>
      </x:c>
      <x:c r="Q9" s="31" t="str">
        <x:v>missing_live_access</x:v>
      </x:c>
      <x:c r="R9" s="31" t="str">
        <x:v>Settings require GitHub access</x:v>
      </x:c>
      <x:c r="S9" s="31" t="str">
        <x:v>Document and configure protection manually/through approved action</x:v>
      </x:c>
      <x:c r="T9" s="31" t="str">
        <x:v>Operator</x:v>
      </x:c>
      <x:c r="U9" s="31" t="str">
        <x:v>Verify branch protection or add as external gate</x:v>
      </x:c>
      <x:c r="V9" s="31" t="str">
        <x:v>externally_blocked_with_proof</x:v>
      </x:c>
      <x:c r="W9" s="31" t="str">
        <x:v>Cannot be proven from workbook alone</x:v>
      </x:c>
      <x:c r="X9" s="31" t="str">
        <x:v>Independent auditor: verify source_truth_reference, proof_artifact_path, validation_result, receipt_path, or exact_file_path. Downgrade any complete claim without proof.</x:v>
      </x:c>
    </x:row>
    <x:row r="10" ht="42" customHeight="1">
      <x:c r="A10" s="31" t="str">
        <x:v>HC-006</x:v>
      </x:c>
      <x:c r="B10" s="31" t="str">
        <x:v>supabase</x:v>
      </x:c>
      <x:c r="C10" s="31" t="str">
        <x:v>Supabase Runtime Ledger</x:v>
      </x:c>
      <x:c r="D10" s="31" t="str">
        <x:v>Durable queue/receipt/blocker schema exists</x:v>
      </x:c>
      <x:c r="E10" s="31" t="str">
        <x:v>Supabase must become durable operating ledger</x:v>
      </x:c>
      <x:c r="F10" s="31" t="str">
        <x:v>unverified</x:v>
      </x:c>
      <x:c r="G10" s="31" t="str">
        <x:v>P0_release_blocker</x:v>
      </x:c>
      <x:c r="H10" s="31" t="str">
        <x:v>Prior audit saw minimal schema in scaffold branch</x:v>
      </x:c>
      <x:c r="I10" s="31" t="str">
        <x:v>Need current schema proof and RLS evidence</x:v>
      </x:c>
      <x:c r="J10" s="31" t="str">
        <x:v>supabase/schema.sql</x:v>
      </x:c>
      <x:c r="K10" s="31" t="str">
        <x:v>supabase/schema.sql</x:v>
      </x:c>
      <x:c r="L10" s="31" t="str">
        <x:v>all</x:v>
      </x:c>
      <x:c r="M10" s="31" t="str">
        <x:v>SQL validation + review</x:v>
      </x:c>
      <x:c r="N10" s="31" t="str">
        <x:v>pending</x:v>
      </x:c>
      <x:c r="O10" s="31" t="str"/>
      <x:c r="P10" s="31" t="str">
        <x:v>03_Bridge_Receipts/validation/RECEIPT_SUPABASE_SCHEMA.md</x:v>
      </x:c>
      <x:c r="Q10" s="31" t="str">
        <x:v>missing_code</x:v>
      </x:c>
      <x:c r="R10" s="31" t="str">
        <x:v>Need schema/rules/indexes/audit tables/RLS</x:v>
      </x:c>
      <x:c r="S10" s="31" t="str">
        <x:v>Codex expands schema and receipts</x:v>
      </x:c>
      <x:c r="T10" s="31" t="str">
        <x:v>Codex</x:v>
      </x:c>
      <x:c r="U10" s="31" t="str">
        <x:v>Add tables, indexes, RLS policy notes, audit log</x:v>
      </x:c>
      <x:c r="V10" s="31" t="str">
        <x:v>incomplete</x:v>
      </x:c>
      <x:c r="W10" s="31" t="str">
        <x:v>Live verification remains external</x:v>
      </x:c>
      <x:c r="X10" s="31" t="str">
        <x:v>Independent auditor: verify source_truth_reference, proof_artifact_path, validation_result, receipt_path, or exact_file_path. Downgrade any complete claim without proof.</x:v>
      </x:c>
    </x:row>
    <x:row r="11" ht="42" customHeight="1">
      <x:c r="A11" s="31" t="str">
        <x:v>HC-007</x:v>
      </x:c>
      <x:c r="B11" s="31" t="str">
        <x:v>vercel</x:v>
      </x:c>
      <x:c r="C11" s="31" t="str">
        <x:v>Vercel Runtime Cron Layer</x:v>
      </x:c>
      <x:c r="D11" s="31" t="str">
        <x:v>Vercel runtime and cron path defined</x:v>
      </x:c>
      <x:c r="E11" s="31" t="str">
        <x:v>Vercel should run dashboard, runtime APIs, and validator cron</x:v>
      </x:c>
      <x:c r="F11" s="31" t="str">
        <x:v>unverified</x:v>
      </x:c>
      <x:c r="G11" s="31" t="str">
        <x:v>P0_release_blocker</x:v>
      </x:c>
      <x:c r="H11" s="31" t="str">
        <x:v>Prior audit saw 15-min cron stub in scaffold branch</x:v>
      </x:c>
      <x:c r="I11" s="31" t="str">
        <x:v>Need truthful cron route and config</x:v>
      </x:c>
      <x:c r="J11" s="31" t="str">
        <x:v>vercel.json + api route</x:v>
      </x:c>
      <x:c r="K11" s="31" t="str">
        <x:v>vercel.json</x:v>
      </x:c>
      <x:c r="L11" s="31" t="str">
        <x:v>all</x:v>
      </x:c>
      <x:c r="M11" s="31" t="str">
        <x:v>vercel build + route test</x:v>
      </x:c>
      <x:c r="N11" s="31" t="str">
        <x:v>pending</x:v>
      </x:c>
      <x:c r="O11" s="31" t="str"/>
      <x:c r="P11" s="31" t="str">
        <x:v>03_Bridge_Receipts/validation/RECEIPT_VERCEL_CRON.md</x:v>
      </x:c>
      <x:c r="Q11" s="31" t="str">
        <x:v>missing_code</x:v>
      </x:c>
      <x:c r="R11" s="31" t="str">
        <x:v>Cron must validate and emit receipts, not fake queued</x:v>
      </x:c>
      <x:c r="S11" s="31" t="str">
        <x:v>Codex upgrades route and documents env/secret gate</x:v>
      </x:c>
      <x:c r="T11" s="31" t="str">
        <x:v>Codex</x:v>
      </x:c>
      <x:c r="U11" s="31" t="str">
        <x:v>Implement blocker-aware cron receipt route</x:v>
      </x:c>
      <x:c r="V11" s="31" t="str">
        <x:v>incomplete</x:v>
      </x:c>
      <x:c r="W11" s="31" t="str">
        <x:v>Cron production invocation requires Vercel production deploy</x:v>
      </x:c>
      <x:c r="X11" s="31" t="str">
        <x:v>Independent auditor: verify source_truth_reference, proof_artifact_path, validation_result, receipt_path, or exact_file_path. Downgrade any complete claim without proof.</x:v>
      </x:c>
    </x:row>
    <x:row r="12" ht="42" customHeight="1">
      <x:c r="A12" s="31" t="str">
        <x:v>HC-008</x:v>
      </x:c>
      <x:c r="B12" s="31" t="str">
        <x:v>codex</x:v>
      </x:c>
      <x:c r="C12" s="31" t="str">
        <x:v>Codex Build Loop</x:v>
      </x:c>
      <x:c r="D12" s="31" t="str">
        <x:v>Codex install handoff embedded</x:v>
      </x:c>
      <x:c r="E12" s="31" t="str">
        <x:v>Codex must have exact branch, path, commands, outputs, and proof update rules</x:v>
      </x:c>
      <x:c r="F12" s="31" t="str">
        <x:v>verified_complete</x:v>
      </x:c>
      <x:c r="G12" s="31" t="str">
        <x:v>P0_release_blocker</x:v>
      </x:c>
      <x:c r="H12" s="31" t="str">
        <x:v>Sheet 24_CODEX_INSTALL_HANDOFF is included</x:v>
      </x:c>
      <x:c r="I12" s="31" t="str">
        <x:v>Need repo install proof after Codex run</x:v>
      </x:c>
      <x:c r="J12" s="31" t="str">
        <x:v>24_CODEX_INSTALL_HANDOFF</x:v>
      </x:c>
      <x:c r="K12" s="31" t="str">
        <x:v>workbook sheet</x:v>
      </x:c>
      <x:c r="L12" s="31" t="str">
        <x:v>all</x:v>
      </x:c>
      <x:c r="M12" s="31" t="str">
        <x:v>workbook validator</x:v>
      </x:c>
      <x:c r="N12" s="31" t="str">
        <x:v>included</x:v>
      </x:c>
      <x:c r="O12" s="31" t="str">
        <x:v>24_CODEX_INSTALL_HANDOFF</x:v>
      </x:c>
      <x:c r="P12" s="31" t="str">
        <x:v>03_Bridge_Receipts/build/RECEIPT_CODEX_HANDOFF.md</x:v>
      </x:c>
      <x:c r="Q12" s="31" t="str">
        <x:v>not_a_blocker</x:v>
      </x:c>
      <x:c r="R12" s="31" t="str"/>
      <x:c r="S12" s="31" t="str">
        <x:v>Use embedded prompt in Codex</x:v>
      </x:c>
      <x:c r="T12" s="31" t="str">
        <x:v>Operator</x:v>
      </x:c>
      <x:c r="U12" s="31" t="str">
        <x:v>Give package to Codex</x:v>
      </x:c>
      <x:c r="V12" s="31" t="str">
        <x:v>complete_with_proof</x:v>
      </x:c>
      <x:c r="W12" s="31" t="str">
        <x:v>Workbook contains handoff text</x:v>
      </x:c>
      <x:c r="X12" s="31" t="str">
        <x:v>Independent auditor: verify source_truth_reference, proof_artifact_path, validation_result, receipt_path, or exact_file_path. Downgrade any complete claim without proof.</x:v>
      </x:c>
    </x:row>
    <x:row r="13" ht="42" customHeight="1">
      <x:c r="A13" s="31" t="str">
        <x:v>HC-009</x:v>
      </x:c>
      <x:c r="B13" s="31" t="str">
        <x:v>base44</x:v>
      </x:c>
      <x:c r="C13" s="31" t="str">
        <x:v>Base44 Agent Handoff</x:v>
      </x:c>
      <x:c r="D13" s="31" t="str">
        <x:v>Base44 orchestration prompt embedded</x:v>
      </x:c>
      <x:c r="E13" s="31" t="str">
        <x:v>Base44 must coordinate GPT/Codex/connectors without production mutation</x:v>
      </x:c>
      <x:c r="F13" s="31" t="str">
        <x:v>verified_complete</x:v>
      </x:c>
      <x:c r="G13" s="31" t="str">
        <x:v>P1_high</x:v>
      </x:c>
      <x:c r="H13" s="31" t="str">
        <x:v>Sheet 25_BASE44_AGENT_HANDOFF is included</x:v>
      </x:c>
      <x:c r="I13" s="31" t="str">
        <x:v>Need Base44 execution receipt after use</x:v>
      </x:c>
      <x:c r="J13" s="31" t="str">
        <x:v>25_BASE44_AGENT_HANDOFF</x:v>
      </x:c>
      <x:c r="K13" s="31" t="str">
        <x:v>workbook sheet</x:v>
      </x:c>
      <x:c r="L13" s="31" t="str">
        <x:v>all</x:v>
      </x:c>
      <x:c r="M13" s="31" t="str">
        <x:v>workbook validator</x:v>
      </x:c>
      <x:c r="N13" s="31" t="str">
        <x:v>included</x:v>
      </x:c>
      <x:c r="O13" s="31" t="str">
        <x:v>25_BASE44_AGENT_HANDOFF</x:v>
      </x:c>
      <x:c r="P13" s="31" t="str">
        <x:v>03_Bridge_Receipts/build/RECEIPT_BASE44_HANDOFF.md</x:v>
      </x:c>
      <x:c r="Q13" s="31" t="str">
        <x:v>not_a_blocker</x:v>
      </x:c>
      <x:c r="R13" s="31" t="str"/>
      <x:c r="S13" s="31" t="str">
        <x:v>Use embedded prompt in Base44</x:v>
      </x:c>
      <x:c r="T13" s="31" t="str">
        <x:v>Operator</x:v>
      </x:c>
      <x:c r="U13" s="31" t="str">
        <x:v>Upload workbook/package to Base44 or paste sheet prompt</x:v>
      </x:c>
      <x:c r="V13" s="31" t="str">
        <x:v>complete_with_proof</x:v>
      </x:c>
      <x:c r="W13" s="31" t="str">
        <x:v>Workbook contains Base44 prompt</x:v>
      </x:c>
      <x:c r="X13" s="31" t="str">
        <x:v>Independent auditor: verify source_truth_reference, proof_artifact_path, validation_result, receipt_path, or exact_file_path. Downgrade any complete claim without proof.</x:v>
      </x:c>
    </x:row>
    <x:row r="14" ht="42" customHeight="1">
      <x:c r="A14" s="31" t="str">
        <x:v>HC-010</x:v>
      </x:c>
      <x:c r="B14" s="31" t="str">
        <x:v>connector</x:v>
      </x:c>
      <x:c r="C14" s="31" t="str">
        <x:v>Connector Governance Layer</x:v>
      </x:c>
      <x:c r="D14" s="31" t="str">
        <x:v>Connector registry + contracts + approval gates</x:v>
      </x:c>
      <x:c r="E14" s="31" t="str">
        <x:v>Every connector must define allowed/blocked actions, approvals, receipts, rollback</x:v>
      </x:c>
      <x:c r="F14" s="31" t="str">
        <x:v>unverified</x:v>
      </x:c>
      <x:c r="G14" s="31" t="str">
        <x:v>P0_release_blocker</x:v>
      </x:c>
      <x:c r="H14" s="31" t="str">
        <x:v>Connector list included in workbook</x:v>
      </x:c>
      <x:c r="I14" s="31" t="str">
        <x:v>Need actual repo/workbook connector sheets/contracts</x:v>
      </x:c>
      <x:c r="J14" s="31" t="str">
        <x:v>connector registry sheet or workbook rows</x:v>
      </x:c>
      <x:c r="K14" s="31" t="str">
        <x:v>12_CONNECTOR_GOVERNANCE_LAYER</x:v>
      </x:c>
      <x:c r="L14" s="31" t="str">
        <x:v>all</x:v>
      </x:c>
      <x:c r="M14" s="31" t="str">
        <x:v>workbook audit + connector sheet validator</x:v>
      </x:c>
      <x:c r="N14" s="31" t="str">
        <x:v>pending</x:v>
      </x:c>
      <x:c r="O14" s="31" t="str"/>
      <x:c r="P14" s="31" t="str">
        <x:v>03_Bridge_Receipts/validation/RECEIPT_CONNECTOR_GOVERNANCE.md</x:v>
      </x:c>
      <x:c r="Q14" s="31" t="str">
        <x:v>missing_doc</x:v>
      </x:c>
      <x:c r="R14" s="31" t="str">
        <x:v>Contracts/permissions need repo/workbook confirmation</x:v>
      </x:c>
      <x:c r="S14" s="31" t="str">
        <x:v>Codex maps connectors and creates receipts</x:v>
      </x:c>
      <x:c r="T14" s="31" t="str">
        <x:v>Codex</x:v>
      </x:c>
      <x:c r="U14" s="31" t="str">
        <x:v>Populate connector contracts and approval gates</x:v>
      </x:c>
      <x:c r="V14" s="31" t="str">
        <x:v>incomplete</x:v>
      </x:c>
      <x:c r="W14" s="31" t="str">
        <x:v>Payment and messaging connectors stay gated</x:v>
      </x:c>
      <x:c r="X14" s="31" t="str">
        <x:v>Independent auditor: verify source_truth_reference, proof_artifact_path, validation_result, receipt_path, or exact_file_path. Downgrade any complete claim without proof.</x:v>
      </x:c>
    </x:row>
    <x:row r="15" ht="42" customHeight="1">
      <x:c r="A15" s="31" t="str">
        <x:v>HC-011</x:v>
      </x:c>
      <x:c r="B15" s="31" t="str">
        <x:v>security</x:v>
      </x:c>
      <x:c r="C15" s="31" t="str">
        <x:v>Security and Secret Readiness</x:v>
      </x:c>
      <x:c r="D15" s="31" t="str">
        <x:v>Secret scanning and workbook safety scanner</x:v>
      </x:c>
      <x:c r="E15" s="31" t="str">
        <x:v>Repo/workbook must avoid credentials and scan for common token patterns</x:v>
      </x:c>
      <x:c r="F15" s="31" t="str">
        <x:v>unverified</x:v>
      </x:c>
      <x:c r="G15" s="31" t="str">
        <x:v>P0_release_blocker</x:v>
      </x:c>
      <x:c r="H15" s="31" t="str">
        <x:v>Previous scanner was shallow</x:v>
      </x:c>
      <x:c r="I15" s="31" t="str">
        <x:v>Need expanded scanner and run receipt</x:v>
      </x:c>
      <x:c r="J15" s="31" t="str">
        <x:v>scripts/workbook_validation/scan_workbook_for_public_safety.py</x:v>
      </x:c>
      <x:c r="K15" s="31" t="str">
        <x:v>scripts/workbook_validation/*</x:v>
      </x:c>
      <x:c r="L15" s="31" t="str">
        <x:v>all</x:v>
      </x:c>
      <x:c r="M15" s="31" t="str">
        <x:v>secret scan + workbook scan</x:v>
      </x:c>
      <x:c r="N15" s="31" t="str">
        <x:v>pending</x:v>
      </x:c>
      <x:c r="O15" s="31" t="str"/>
      <x:c r="P15" s="31" t="str">
        <x:v>03_Bridge_Receipts/validation/RECEIPT_SECRET_SCAN.md</x:v>
      </x:c>
      <x:c r="Q15" s="31" t="str">
        <x:v>missing_code</x:v>
      </x:c>
      <x:c r="R15" s="31" t="str">
        <x:v>Scanner likely needs expansion</x:v>
      </x:c>
      <x:c r="S15" s="31" t="str">
        <x:v>Codex expands scanner and runs it</x:v>
      </x:c>
      <x:c r="T15" s="31" t="str">
        <x:v>Codex</x:v>
      </x:c>
      <x:c r="U15" s="31" t="str">
        <x:v>Add broad token patterns and receipts</x:v>
      </x:c>
      <x:c r="V15" s="31" t="str">
        <x:v>incomplete</x:v>
      </x:c>
      <x:c r="W15" s="31" t="str">
        <x:v>Never include secret values</x:v>
      </x:c>
      <x:c r="X15" s="31" t="str">
        <x:v>Independent auditor: verify source_truth_reference, proof_artifact_path, validation_result, receipt_path, or exact_file_path. Downgrade any complete claim without proof.</x:v>
      </x:c>
    </x:row>
    <x:row r="16" ht="42" customHeight="1">
      <x:c r="A16" s="31" t="str">
        <x:v>HC-012</x:v>
      </x:c>
      <x:c r="B16" s="31" t="str">
        <x:v>auth_rls</x:v>
      </x:c>
      <x:c r="C16" s="31" t="str">
        <x:v>Security and Secret Readiness</x:v>
      </x:c>
      <x:c r="D16" s="31" t="str">
        <x:v>Auth/RLS approval gate</x:v>
      </x:c>
      <x:c r="E16" s="31" t="str">
        <x:v>Auth and RLS must be finalized before production readiness</x:v>
      </x:c>
      <x:c r="F16" s="31" t="str">
        <x:v>external_blocked</x:v>
      </x:c>
      <x:c r="G16" s="31" t="str">
        <x:v>P0_release_blocker</x:v>
      </x:c>
      <x:c r="H16" s="31" t="str">
        <x:v>Workbook marks auth/RLS as production gate</x:v>
      </x:c>
      <x:c r="I16" s="31" t="str">
        <x:v>Requires operator and live project context</x:v>
      </x:c>
      <x:c r="J16" s="31" t="str">
        <x:v>Supabase project policies</x:v>
      </x:c>
      <x:c r="K16" s="31" t="str">
        <x:v>Supabase dashboard/migrations</x:v>
      </x:c>
      <x:c r="L16" s="31" t="str">
        <x:v>n/a</x:v>
      </x:c>
      <x:c r="M16" s="31" t="str">
        <x:v>live Supabase policy verification</x:v>
      </x:c>
      <x:c r="N16" s="31" t="str">
        <x:v>blocked</x:v>
      </x:c>
      <x:c r="O16" s="31" t="str"/>
      <x:c r="P16" s="31" t="str">
        <x:v>03_Bridge_Receipts/approval/AUTH_RLS_APPROVAL.md</x:v>
      </x:c>
      <x:c r="Q16" s="31" t="str">
        <x:v>missing_operator_approval</x:v>
      </x:c>
      <x:c r="R16" s="31" t="str">
        <x:v>Requires operator-approved deployment policy</x:v>
      </x:c>
      <x:c r="S16" s="31" t="str">
        <x:v>Create approval checklist and receipt template</x:v>
      </x:c>
      <x:c r="T16" s="31" t="str">
        <x:v>Operator</x:v>
      </x:c>
      <x:c r="U16" s="31" t="str">
        <x:v>Approve auth/RLS plan in live project</x:v>
      </x:c>
      <x:c r="V16" s="31" t="str">
        <x:v>externally_blocked_with_proof</x:v>
      </x:c>
      <x:c r="W16" s="31" t="str">
        <x:v>External live gate</x:v>
      </x:c>
      <x:c r="X16" s="31" t="str">
        <x:v>Independent auditor: verify source_truth_reference, proof_artifact_path, validation_result, receipt_path, or exact_file_path. Downgrade any complete claim without proof.</x:v>
      </x:c>
    </x:row>
    <x:row r="17" ht="42" customHeight="1">
      <x:c r="A17" s="31" t="str">
        <x:v>HC-013</x:v>
      </x:c>
      <x:c r="B17" s="31" t="str">
        <x:v>env</x:v>
      </x:c>
      <x:c r="C17" s="31" t="str">
        <x:v>Environment Variables</x:v>
      </x:c>
      <x:c r="D17" s="31" t="str">
        <x:v>Env var checklist exists and no values exposed</x:v>
      </x:c>
      <x:c r="E17" s="31" t="str">
        <x:v>Workbook must list names only and never store secrets</x:v>
      </x:c>
      <x:c r="F17" s="31" t="str">
        <x:v>unverified</x:v>
      </x:c>
      <x:c r="G17" s="31" t="str">
        <x:v>P0_release_blocker</x:v>
      </x:c>
      <x:c r="H17" s="31" t="str">
        <x:v>Env sheet included with names only</x:v>
      </x:c>
      <x:c r="I17" s="31" t="str">
        <x:v>Need target repo env docs and Vercel/Supabase env presence proof</x:v>
      </x:c>
      <x:c r="J17" s="31" t="str">
        <x:v>15_ENVIRONMENT_VARIABLES</x:v>
      </x:c>
      <x:c r="K17" s="31" t="str">
        <x:v>workbook sheet + Vercel settings</x:v>
      </x:c>
      <x:c r="L17" s="31" t="str">
        <x:v>all</x:v>
      </x:c>
      <x:c r="M17" s="31" t="str">
        <x:v>env presence route/checklist</x:v>
      </x:c>
      <x:c r="N17" s="31" t="str">
        <x:v>pending</x:v>
      </x:c>
      <x:c r="O17" s="31" t="str"/>
      <x:c r="P17" s="31" t="str">
        <x:v>03_Bridge_Receipts/validation/RECEIPT_ENV_GATE.md</x:v>
      </x:c>
      <x:c r="Q17" s="31" t="str">
        <x:v>missing_env</x:v>
      </x:c>
      <x:c r="R17" s="31" t="str">
        <x:v>Live env values not available in workbook</x:v>
      </x:c>
      <x:c r="S17" s="31" t="str">
        <x:v>Use Vercel/Supabase env panels and boolean readiness endpoints</x:v>
      </x:c>
      <x:c r="T17" s="31" t="str">
        <x:v>Operator/Codex</x:v>
      </x:c>
      <x:c r="U17" s="31" t="str">
        <x:v>Add env example and readiness route</x:v>
      </x:c>
      <x:c r="V17" s="31" t="str">
        <x:v>externally_blocked_with_proof</x:v>
      </x:c>
      <x:c r="W17" s="31" t="str">
        <x:v>Requires live project context</x:v>
      </x:c>
      <x:c r="X17" s="31" t="str">
        <x:v>Independent auditor: verify source_truth_reference, proof_artifact_path, validation_result, receipt_path, or exact_file_path. Downgrade any complete claim without proof.</x:v>
      </x:c>
    </x:row>
    <x:row r="18" ht="42" customHeight="1">
      <x:c r="A18" s="31" t="str">
        <x:v>HC-014</x:v>
      </x:c>
      <x:c r="B18" s="31" t="str">
        <x:v>validation</x:v>
      </x:c>
      <x:c r="C18" s="31" t="str">
        <x:v>Validation Testing Layer</x:v>
      </x:c>
      <x:c r="D18" s="31" t="str">
        <x:v>Local validation commands wired</x:v>
      </x:c>
      <x:c r="E18" s="31" t="str">
        <x:v>Build/test/typecheck/workbook validators must be listed and runnable</x:v>
      </x:c>
      <x:c r="F18" s="31" t="str">
        <x:v>unverified</x:v>
      </x:c>
      <x:c r="G18" s="31" t="str">
        <x:v>P0_release_blocker</x:v>
      </x:c>
      <x:c r="H18" s="31" t="str">
        <x:v>Commands included in handoff</x:v>
      </x:c>
      <x:c r="I18" s="31" t="str">
        <x:v>Need command output receipts</x:v>
      </x:c>
      <x:c r="J18" s="31" t="str">
        <x:v>package.json + scripts</x:v>
      </x:c>
      <x:c r="K18" s="31" t="str">
        <x:v>package.json, scripts/</x:v>
      </x:c>
      <x:c r="L18" s="31" t="str">
        <x:v>all</x:v>
      </x:c>
      <x:c r="M18" s="31" t="str">
        <x:v>npm run build/test + python validators</x:v>
      </x:c>
      <x:c r="N18" s="31" t="str">
        <x:v>pending</x:v>
      </x:c>
      <x:c r="O18" s="31" t="str"/>
      <x:c r="P18" s="31" t="str">
        <x:v>03_Bridge_Receipts/validation/RECEIPT_LOCAL_VALIDATION.md</x:v>
      </x:c>
      <x:c r="Q18" s="31" t="str">
        <x:v>missing_receipt</x:v>
      </x:c>
      <x:c r="R18" s="31" t="str">
        <x:v>Commands not run in target repo in this workbook</x:v>
      </x:c>
      <x:c r="S18" s="31" t="str">
        <x:v>Codex runs commands and records outputs</x:v>
      </x:c>
      <x:c r="T18" s="31" t="str">
        <x:v>Codex</x:v>
      </x:c>
      <x:c r="U18" s="31" t="str">
        <x:v>Run commands and update workbook proof columns</x:v>
      </x:c>
      <x:c r="V18" s="31" t="str">
        <x:v>incomplete</x:v>
      </x:c>
      <x:c r="W18" s="31" t="str">
        <x:v>Workbook creation is not repo validation</x:v>
      </x:c>
      <x:c r="X18" s="31" t="str">
        <x:v>Independent auditor: verify source_truth_reference, proof_artifact_path, validation_result, receipt_path, or exact_file_path. Downgrade any complete claim without proof.</x:v>
      </x:c>
    </x:row>
    <x:row r="19" ht="42" customHeight="1">
      <x:c r="A19" s="31" t="str">
        <x:v>HC-015</x:v>
      </x:c>
      <x:c r="B19" s="31" t="str">
        <x:v>receipts</x:v>
      </x:c>
      <x:c r="C19" s="31" t="str">
        <x:v>Receipts Proof Index</x:v>
      </x:c>
      <x:c r="D19" s="31" t="str">
        <x:v>Receipts index populated</x:v>
      </x:c>
      <x:c r="E19" s="31" t="str">
        <x:v>Every meaningful action needs receipt path and proof summary</x:v>
      </x:c>
      <x:c r="F19" s="31" t="str">
        <x:v>partially_complete</x:v>
      </x:c>
      <x:c r="G19" s="31" t="str">
        <x:v>P1_high</x:v>
      </x:c>
      <x:c r="H19" s="31" t="str">
        <x:v>Sheet 18 has starter receipt rows</x:v>
      </x:c>
      <x:c r="I19" s="31" t="str">
        <x:v>Need Codex-created repo receipts</x:v>
      </x:c>
      <x:c r="J19" s="31" t="str">
        <x:v>18_RECEIPTS_PROOF_INDEX</x:v>
      </x:c>
      <x:c r="K19" s="31" t="str">
        <x:v>03_Bridge_Receipts/*</x:v>
      </x:c>
      <x:c r="L19" s="31" t="str">
        <x:v>all</x:v>
      </x:c>
      <x:c r="M19" s="31" t="str">
        <x:v>receipt audit</x:v>
      </x:c>
      <x:c r="N19" s="31" t="str">
        <x:v>pending</x:v>
      </x:c>
      <x:c r="O19" s="31" t="str"/>
      <x:c r="P19" s="31" t="str">
        <x:v>03_Bridge_Receipts/validation/RECEIPT_RECEIPTS_INDEX.md</x:v>
      </x:c>
      <x:c r="Q19" s="31" t="str">
        <x:v>missing_receipt</x:v>
      </x:c>
      <x:c r="R19" s="31" t="str">
        <x:v>Repo receipts not yet created</x:v>
      </x:c>
      <x:c r="S19" s="31" t="str">
        <x:v>Codex creates install/validation/rollback receipts</x:v>
      </x:c>
      <x:c r="T19" s="31" t="str">
        <x:v>Codex</x:v>
      </x:c>
      <x:c r="U19" s="31" t="str">
        <x:v>Create receipts and update index</x:v>
      </x:c>
      <x:c r="V19" s="31" t="str">
        <x:v>incomplete</x:v>
      </x:c>
      <x:c r="W19" s="31" t="str">
        <x:v>Starter receipts are not final repo receipts</x:v>
      </x:c>
      <x:c r="X19" s="31" t="str">
        <x:v>Independent auditor: verify source_truth_reference, proof_artifact_path, validation_result, receipt_path, or exact_file_path. Downgrade any complete claim without proof.</x:v>
      </x:c>
    </x:row>
    <x:row r="20" ht="42" customHeight="1">
      <x:c r="A20" s="31" t="str">
        <x:v>HC-016</x:v>
      </x:c>
      <x:c r="B20" s="31" t="str">
        <x:v>rollback</x:v>
      </x:c>
      <x:c r="C20" s="31" t="str">
        <x:v>Rollback Recovery Plan</x:v>
      </x:c>
      <x:c r="D20" s="31" t="str">
        <x:v>Rollback path documented</x:v>
      </x:c>
      <x:c r="E20" s="31" t="str">
        <x:v>Repo must have file-level rollback and Vercel rollback procedures</x:v>
      </x:c>
      <x:c r="F20" s="31" t="str">
        <x:v>partially_complete</x:v>
      </x:c>
      <x:c r="G20" s="31" t="str">
        <x:v>P1_high</x:v>
      </x:c>
      <x:c r="H20" s="31" t="str">
        <x:v>Sheet 20 includes rollback plan; Vercel rollback commands included</x:v>
      </x:c>
      <x:c r="I20" s="31" t="str">
        <x:v>Need repo receipt and tested rollback note</x:v>
      </x:c>
      <x:c r="J20" s="31" t="str">
        <x:v>20_ROLLBACK_RECOVERY_PLAN</x:v>
      </x:c>
      <x:c r="K20" s="31" t="str">
        <x:v>ROLLBACK_PLAN.md + Vercel deployment</x:v>
      </x:c>
      <x:c r="L20" s="31" t="str">
        <x:v>all</x:v>
      </x:c>
      <x:c r="M20" s="31" t="str">
        <x:v>rollback status + docs review</x:v>
      </x:c>
      <x:c r="N20" s="31" t="str">
        <x:v>pending</x:v>
      </x:c>
      <x:c r="O20" s="31" t="str"/>
      <x:c r="P20" s="31" t="str">
        <x:v>03_Bridge_Receipts/rollback/ROLLBACK_HIGHEST_REPO_CEILING_INSTALL.md</x:v>
      </x:c>
      <x:c r="Q20" s="31" t="str">
        <x:v>missing_receipt</x:v>
      </x:c>
      <x:c r="R20" s="31" t="str">
        <x:v>Rollback not tested in target repo</x:v>
      </x:c>
      <x:c r="S20" s="31" t="str">
        <x:v>Create rollback note and verify Vercel rollback status when deployed</x:v>
      </x:c>
      <x:c r="T20" s="31" t="str">
        <x:v>Codex/Operator</x:v>
      </x:c>
      <x:c r="U20" s="31" t="str">
        <x:v>Write rollback doc and receipt</x:v>
      </x:c>
      <x:c r="V20" s="31" t="str">
        <x:v>incomplete</x:v>
      </x:c>
      <x:c r="W20" s="31" t="str">
        <x:v>Production rollback requires live deployment</x:v>
      </x:c>
      <x:c r="X20" s="31" t="str">
        <x:v>Independent auditor: verify source_truth_reference, proof_artifact_path, validation_result, receipt_path, or exact_file_path. Downgrade any complete claim without proof.</x:v>
      </x:c>
    </x:row>
    <x:row r="21" ht="42" customHeight="1">
      <x:c r="A21" s="31" t="str">
        <x:v>HC-017</x:v>
      </x:c>
      <x:c r="B21" s="31" t="str">
        <x:v>release</x:v>
      </x:c>
      <x:c r="C21" s="31" t="str">
        <x:v>Release Operation Layer</x:v>
      </x:c>
      <x:c r="D21" s="31" t="str">
        <x:v>Release gate states merge/preview/prod clearly</x:v>
      </x:c>
      <x:c r="E21" s="31" t="str">
        <x:v>Workbook must block production until receipts prove live gates</x:v>
      </x:c>
      <x:c r="F21" s="31" t="str">
        <x:v>partially_complete</x:v>
      </x:c>
      <x:c r="G21" s="31" t="str">
        <x:v>P0_release_blocker</x:v>
      </x:c>
      <x:c r="H21" s="31" t="str">
        <x:v>Sheet 21 release gate included</x:v>
      </x:c>
      <x:c r="I21" s="31" t="str">
        <x:v>Need repo release gate update and proof</x:v>
      </x:c>
      <x:c r="J21" s="31" t="str">
        <x:v>21_RELEASE_GATE</x:v>
      </x:c>
      <x:c r="K21" s="31" t="str">
        <x:v>RELEASE_GATE.md</x:v>
      </x:c>
      <x:c r="L21" s="31" t="str">
        <x:v>all</x:v>
      </x:c>
      <x:c r="M21" s="31" t="str">
        <x:v>release gate audit</x:v>
      </x:c>
      <x:c r="N21" s="31" t="str">
        <x:v>pending</x:v>
      </x:c>
      <x:c r="O21" s="31" t="str"/>
      <x:c r="P21" s="31" t="str">
        <x:v>03_Bridge_Receipts/validation/RECEIPT_RELEASE_GATE.md</x:v>
      </x:c>
      <x:c r="Q21" s="31" t="str">
        <x:v>missing_receipt</x:v>
      </x:c>
      <x:c r="R21" s="31" t="str">
        <x:v>Repo release gate not yet updated with workbook state</x:v>
      </x:c>
      <x:c r="S21" s="31" t="str">
        <x:v>Codex updates release gate and receipts</x:v>
      </x:c>
      <x:c r="T21" s="31" t="str">
        <x:v>Codex</x:v>
      </x:c>
      <x:c r="U21" s="31" t="str">
        <x:v>Update release gate and run audit</x:v>
      </x:c>
      <x:c r="V21" s="31" t="str">
        <x:v>incomplete</x:v>
      </x:c>
      <x:c r="W21" s="31" t="str">
        <x:v>Production locked until external receipts</x:v>
      </x:c>
      <x:c r="X21" s="31" t="str">
        <x:v>Independent auditor: verify source_truth_reference, proof_artifact_path, validation_result, receipt_path, or exact_file_path. Downgrade any complete claim without proof.</x:v>
      </x:c>
    </x:row>
    <x:row r="22" ht="42" customHeight="1">
      <x:c r="A22" s="31" t="str">
        <x:v>HC-018</x:v>
      </x:c>
      <x:c r="B22" s="31" t="str">
        <x:v>business_factory</x:v>
      </x:c>
      <x:c r="C22" s="31" t="str">
        <x:v>Business Factory Layer</x:v>
      </x:c>
      <x:c r="D22" s="31" t="str">
        <x:v>Factory product map included</x:v>
      </x:c>
      <x:c r="E22" s="31" t="str">
        <x:v>Workbook must map repo to repeatable websites/apps/workflows/client systems</x:v>
      </x:c>
      <x:c r="F22" s="31" t="str">
        <x:v>verified_complete</x:v>
      </x:c>
      <x:c r="G22" s="31" t="str">
        <x:v>P2_medium</x:v>
      </x:c>
      <x:c r="H22" s="31" t="str">
        <x:v>Sheet 14 includes business factory targets</x:v>
      </x:c>
      <x:c r="I22" s="31" t="str">
        <x:v>Need operator review for offer priority</x:v>
      </x:c>
      <x:c r="J22" s="31" t="str">
        <x:v>14_BUSINESS_FACTORY_LAYER</x:v>
      </x:c>
      <x:c r="K22" s="31" t="str">
        <x:v>workbook sheet</x:v>
      </x:c>
      <x:c r="L22" s="31" t="str">
        <x:v>all</x:v>
      </x:c>
      <x:c r="M22" s="31" t="str">
        <x:v>manual review</x:v>
      </x:c>
      <x:c r="N22" s="31" t="str">
        <x:v>included</x:v>
      </x:c>
      <x:c r="O22" s="31" t="str">
        <x:v>14_BUSINESS_FACTORY_LAYER</x:v>
      </x:c>
      <x:c r="P22" s="31" t="str">
        <x:v>03_Bridge_Receipts/approval/BUSINESS_FACTORY_REVIEW.md</x:v>
      </x:c>
      <x:c r="Q22" s="31" t="str">
        <x:v>missing_operator_approval</x:v>
      </x:c>
      <x:c r="R22" s="31" t="str">
        <x:v>Business packaging requires operator decision</x:v>
      </x:c>
      <x:c r="S22" s="31" t="str">
        <x:v>Operator picks first offer path</x:v>
      </x:c>
      <x:c r="T22" s="31" t="str">
        <x:v>Operator</x:v>
      </x:c>
      <x:c r="U22" s="31" t="str">
        <x:v>Review and prioritize productized offers</x:v>
      </x:c>
      <x:c r="V22" s="31" t="str">
        <x:v>approval_required</x:v>
      </x:c>
      <x:c r="W22" s="31" t="str">
        <x:v>Strategy exists, go-to-market requires approval</x:v>
      </x:c>
      <x:c r="X22" s="31" t="str">
        <x:v>Independent auditor: verify source_truth_reference, proof_artifact_path, validation_result, receipt_path, or exact_file_path. Downgrade any complete claim without proof.</x:v>
      </x:c>
    </x:row>
  </x:sheetData>
  <x:mergeCells>
    <x:mergeCell ref="A1:H1"/>
    <x:mergeCell ref="A2:H2"/>
  </x:mergeCells>
  <x:dataValidations count="4">
    <x:dataValidation type="list" sqref="F5:F200">
      <x:formula1>"verified_complete,partially_complete,missing,unverified,external_blocked,approval_required,not_applicable"</x:formula1>
    </x:dataValidation>
    <x:dataValidation type="list" sqref="G5:G200">
      <x:formula1>"P0_release_blocker,P1_high,P2_medium,P3_low,info"</x:formula1>
    </x:dataValidation>
    <x:dataValidation type="list" sqref="Q5:Q200">
      <x:formula1>"missing_file,missing_code,missing_doc,missing_test,missing_receipt,missing_env,missing_secret_manager,missing_live_access,missing_operator_approval,missing_auth_policy,missing_rls_policy,missing_deployment_proof,security_risk,build_failure,platform_limit,not_a_blocker"</x:formula1>
    </x:dataValidation>
    <x:dataValidation type="list" sqref="V5:V200">
      <x:formula1>"complete_with_proof,incomplete,externally_blocked_with_proof,approval_required,needs_human_review,not_applicable"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4" hidden="0" customWidth="1"/>
    <x:col min="4" max="4" width="34" hidden="0" customWidth="1"/>
    <x:col min="5" max="5" width="52" hidden="0" customWidth="1"/>
    <x:col min="6" max="6" width="20" hidden="0" customWidth="1"/>
    <x:col min="7" max="7" width="20" hidden="0" customWidth="1"/>
    <x:col min="8" max="8" width="45" hidden="0" customWidth="1"/>
    <x:col min="9" max="9" width="45" hidden="0" customWidth="1"/>
    <x:col min="10" max="10" width="34" hidden="0" customWidth="1"/>
    <x:col min="11" max="11" width="32" hidden="0" customWidth="1"/>
    <x:col min="12" max="12" width="24" hidden="0" customWidth="1"/>
    <x:col min="13" max="13" width="45" hidden="0" customWidth="1"/>
    <x:col min="14" max="14" width="26" hidden="0" customWidth="1"/>
    <x:col min="15" max="15" width="34" hidden="0" customWidth="1"/>
    <x:col min="16" max="16" width="34" hidden="0" customWidth="1"/>
    <x:col min="17" max="17" width="24" hidden="0" customWidth="1"/>
    <x:col min="18" max="18" width="42" hidden="0" customWidth="1"/>
    <x:col min="19" max="19" width="42" hidden="0" customWidth="1"/>
    <x:col min="20" max="20" width="20" hidden="0" customWidth="1"/>
    <x:col min="21" max="21" width="42" hidden="0" customWidth="1"/>
    <x:col min="22" max="22" width="28" hidden="0" customWidth="1"/>
    <x:col min="23" max="23" width="42" hidden="0" customWidth="1"/>
    <x:col min="24" max="24" width="50" hidden="0" customWidth="1"/>
  </x:cols>
  <x:sheetData>
    <x:row r="1" ht="28" customHeight="1">
      <x:c r="A1" s="40" t="str">
        <x:v>06 SOURCE TRUTH LAYER</x:v>
      </x:c>
      <x:c r="B1" s="40"/>
      <x:c r="C1" s="40"/>
      <x:c r="D1" s="40"/>
      <x:c r="E1" s="40"/>
      <x:c r="F1" s="40"/>
      <x:c r="G1" s="40"/>
      <x:c r="H1" s="40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 ht="24" customHeight="1">
      <x:c r="A2" s="64" t="str">
        <x:v>Layer/gap ledger. All-in-one edition includes engineering/runtime governance plus visual/UI parity gates.</x:v>
      </x:c>
      <x:c r="B2" s="13"/>
      <x:c r="C2" s="13"/>
      <x:c r="D2" s="13"/>
      <x:c r="E2" s="13"/>
      <x:c r="F2" s="13"/>
      <x:c r="G2" s="13"/>
      <x:c r="H2" s="13"/>
    </x:row>
    <x:row r="4" ht="28" customHeight="1">
      <x:c r="A4" s="22" t="str">
        <x:v>gap_id</x:v>
      </x:c>
      <x:c r="B4" s="22" t="str">
        <x:v>category</x:v>
      </x:c>
      <x:c r="C4" s="22" t="str">
        <x:v>repo_layer</x:v>
      </x:c>
      <x:c r="D4" s="22" t="str">
        <x:v>item_name</x:v>
      </x:c>
      <x:c r="E4" s="22" t="str">
        <x:v>highest_state_requirement</x:v>
      </x:c>
      <x:c r="F4" s="22" t="str">
        <x:v>current_status</x:v>
      </x:c>
      <x:c r="G4" s="22" t="str">
        <x:v>severity</x:v>
      </x:c>
      <x:c r="H4" s="22" t="str">
        <x:v>current_evidence</x:v>
      </x:c>
      <x:c r="I4" s="22" t="str">
        <x:v>missing_evidence</x:v>
      </x:c>
      <x:c r="J4" s="22" t="str">
        <x:v>source_truth_reference</x:v>
      </x:c>
      <x:c r="K4" s="22" t="str">
        <x:v>exact_file_path</x:v>
      </x:c>
      <x:c r="L4" s="22" t="str">
        <x:v>exact_line_or_section</x:v>
      </x:c>
      <x:c r="M4" s="22" t="str">
        <x:v>validation_command</x:v>
      </x:c>
      <x:c r="N4" s="22" t="str">
        <x:v>validation_result</x:v>
      </x:c>
      <x:c r="O4" s="22" t="str">
        <x:v>proof_artifact_path</x:v>
      </x:c>
      <x:c r="P4" s="22" t="str">
        <x:v>receipt_path</x:v>
      </x:c>
      <x:c r="Q4" s="22" t="str">
        <x:v>blocker_type</x:v>
      </x:c>
      <x:c r="R4" s="22" t="str">
        <x:v>blocker_reason</x:v>
      </x:c>
      <x:c r="S4" s="22" t="str">
        <x:v>workaround</x:v>
      </x:c>
      <x:c r="T4" s="22" t="str">
        <x:v>owner</x:v>
      </x:c>
      <x:c r="U4" s="22" t="str">
        <x:v>next_action</x:v>
      </x:c>
      <x:c r="V4" s="22" t="str">
        <x:v>completion_status</x:v>
      </x:c>
      <x:c r="W4" s="22" t="str">
        <x:v>auditor_notes</x:v>
      </x:c>
      <x:c r="X4" s="22" t="str">
        <x:v>second_gpt_audit_instruction</x:v>
      </x:c>
    </x:row>
    <x:row r="5" ht="42" customHeight="1">
      <x:c r="A5" s="31" t="str">
        <x:v>HC-001</x:v>
      </x:c>
      <x:c r="B5" s="31" t="str">
        <x:v>source_truth</x:v>
      </x:c>
      <x:c r="C5" s="31" t="str">
        <x:v>Source Truth Layer</x:v>
      </x:c>
      <x:c r="D5" s="31" t="str">
        <x:v>START_HERE exists and defines repo operating order</x:v>
      </x:c>
      <x:c r="E5" s="31" t="str">
        <x:v>Repo must expose first-read source truth and branch-safe operating path</x:v>
      </x:c>
      <x:c r="F5" s="31" t="str">
        <x:v>unverified</x:v>
      </x:c>
      <x:c r="G5" s="31" t="str">
        <x:v>P0_release_blocker</x:v>
      </x:c>
      <x:c r="H5" s="31" t="str">
        <x:v>Prior audit found START_HERE in scaffold branch; latest branch not verified</x:v>
      </x:c>
      <x:c r="I5" s="31" t="str">
        <x:v>Need current branch proof</x:v>
      </x:c>
      <x:c r="J5" s="31" t="str">
        <x:v>START_HERE.md</x:v>
      </x:c>
      <x:c r="K5" s="31" t="str">
        <x:v>START_HERE.md</x:v>
      </x:c>
      <x:c r="L5" s="31" t="str">
        <x:v>A1</x:v>
      </x:c>
      <x:c r="M5" s="31" t="str">
        <x:v>manual inspection + git file fetch</x:v>
      </x:c>
      <x:c r="N5" s="31" t="str">
        <x:v>pending</x:v>
      </x:c>
      <x:c r="O5" s="31" t="str"/>
      <x:c r="P5" s="31" t="str">
        <x:v>03_Bridge_Receipts/validation/RECEIPT_SOURCE_TRUTH.md</x:v>
      </x:c>
      <x:c r="Q5" s="31" t="str">
        <x:v>missing_receipt</x:v>
      </x:c>
      <x:c r="R5" s="31" t="str">
        <x:v>No current receipt attached in workbook</x:v>
      </x:c>
      <x:c r="S5" s="31" t="str">
        <x:v>Codex inspects and writes proof receipt</x:v>
      </x:c>
      <x:c r="T5" s="31" t="str">
        <x:v>Codex</x:v>
      </x:c>
      <x:c r="U5" s="31" t="str">
        <x:v>Verify file exists and update proof path</x:v>
      </x:c>
      <x:c r="V5" s="31" t="str">
        <x:v>incomplete</x:v>
      </x:c>
      <x:c r="W5" s="31" t="str">
        <x:v>Must be proven on current target branch</x:v>
      </x:c>
      <x:c r="X5" s="31" t="str">
        <x:v>Independent auditor: verify source_truth_reference, proof_artifact_path, validation_result, receipt_path, or exact_file_path. Downgrade any complete claim without proof.</x:v>
      </x:c>
    </x:row>
    <x:row r="6" ht="42" customHeight="1">
      <x:c r="A6" s="31" t="str">
        <x:v>HC-002</x:v>
      </x:c>
      <x:c r="B6" s="31" t="str">
        <x:v>source_truth</x:v>
      </x:c>
      <x:c r="C6" s="31" t="str">
        <x:v>Source Truth Layer</x:v>
      </x:c>
      <x:c r="D6" s="31" t="str">
        <x:v>SYSTEM_INDEX maps active workbook and support surfaces</x:v>
      </x:c>
      <x:c r="E6" s="31" t="str">
        <x:v>Repo must be readable by GPT/Codex from a canonical system index</x:v>
      </x:c>
      <x:c r="F6" s="31" t="str">
        <x:v>unverified</x:v>
      </x:c>
      <x:c r="G6" s="31" t="str">
        <x:v>P0_release_blocker</x:v>
      </x:c>
      <x:c r="H6" s="31" t="str">
        <x:v>Prior audit found SYSTEM_INDEX in scaffold branch</x:v>
      </x:c>
      <x:c r="I6" s="31" t="str">
        <x:v>Need current branch proof</x:v>
      </x:c>
      <x:c r="J6" s="31" t="str">
        <x:v>SYSTEM_INDEX.json</x:v>
      </x:c>
      <x:c r="K6" s="31" t="str">
        <x:v>SYSTEM_INDEX.json</x:v>
      </x:c>
      <x:c r="L6" s="31" t="str">
        <x:v>root</x:v>
      </x:c>
      <x:c r="M6" s="31" t="str">
        <x:v>python/json validation</x:v>
      </x:c>
      <x:c r="N6" s="31" t="str">
        <x:v>pending</x:v>
      </x:c>
      <x:c r="O6" s="31" t="str"/>
      <x:c r="P6" s="31" t="str">
        <x:v>03_Bridge_Receipts/validation/RECEIPT_SYSTEM_INDEX.md</x:v>
      </x:c>
      <x:c r="Q6" s="31" t="str">
        <x:v>missing_receipt</x:v>
      </x:c>
      <x:c r="R6" s="31" t="str">
        <x:v>No current receipt attached</x:v>
      </x:c>
      <x:c r="S6" s="31" t="str">
        <x:v>Create/update system index and receipt</x:v>
      </x:c>
      <x:c r="T6" s="31" t="str">
        <x:v>Codex</x:v>
      </x:c>
      <x:c r="U6" s="31" t="str">
        <x:v>Validate JSON and workbook paths</x:v>
      </x:c>
      <x:c r="V6" s="31" t="str">
        <x:v>incomplete</x:v>
      </x:c>
      <x:c r="W6" s="31" t="str">
        <x:v>System index must point to this workbook</x:v>
      </x:c>
      <x:c r="X6" s="31" t="str">
        <x:v>Independent auditor: verify source_truth_reference, proof_artifact_path, validation_result, receipt_path, or exact_file_path. Downgrade any complete claim without proof.</x:v>
      </x:c>
    </x:row>
  </x:sheetData>
  <x:mergeCells>
    <x:mergeCell ref="A1:H1"/>
    <x:mergeCell ref="A2:H2"/>
  </x:mergeCells>
  <x:dataValidations count="4">
    <x:dataValidation type="list" sqref="F5:F200">
      <x:formula1>"verified_complete,partially_complete,missing,unverified,external_blocked,approval_required,not_applicable"</x:formula1>
    </x:dataValidation>
    <x:dataValidation type="list" sqref="G5:G200">
      <x:formula1>"P0_release_blocker,P1_high,P2_medium,P3_low,info"</x:formula1>
    </x:dataValidation>
    <x:dataValidation type="list" sqref="Q5:Q200">
      <x:formula1>"missing_file,missing_code,missing_doc,missing_test,missing_receipt,missing_env,missing_secret_manager,missing_live_access,missing_operator_approval,missing_auth_policy,missing_rls_policy,missing_deployment_proof,security_risk,build_failure,platform_limit,not_a_blocker"</x:formula1>
    </x:dataValidation>
    <x:dataValidation type="list" sqref="V5:V200">
      <x:formula1>"complete_with_proof,incomplete,externally_blocked_with_proof,approval_required,needs_human_review,not_applicable"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4" hidden="0" customWidth="1"/>
    <x:col min="4" max="4" width="34" hidden="0" customWidth="1"/>
    <x:col min="5" max="5" width="52" hidden="0" customWidth="1"/>
    <x:col min="6" max="6" width="20" hidden="0" customWidth="1"/>
    <x:col min="7" max="7" width="20" hidden="0" customWidth="1"/>
    <x:col min="8" max="8" width="45" hidden="0" customWidth="1"/>
    <x:col min="9" max="9" width="45" hidden="0" customWidth="1"/>
    <x:col min="10" max="10" width="34" hidden="0" customWidth="1"/>
    <x:col min="11" max="11" width="32" hidden="0" customWidth="1"/>
    <x:col min="12" max="12" width="24" hidden="0" customWidth="1"/>
    <x:col min="13" max="13" width="45" hidden="0" customWidth="1"/>
    <x:col min="14" max="14" width="26" hidden="0" customWidth="1"/>
    <x:col min="15" max="15" width="34" hidden="0" customWidth="1"/>
    <x:col min="16" max="16" width="34" hidden="0" customWidth="1"/>
    <x:col min="17" max="17" width="24" hidden="0" customWidth="1"/>
    <x:col min="18" max="18" width="42" hidden="0" customWidth="1"/>
    <x:col min="19" max="19" width="42" hidden="0" customWidth="1"/>
    <x:col min="20" max="20" width="20" hidden="0" customWidth="1"/>
    <x:col min="21" max="21" width="42" hidden="0" customWidth="1"/>
    <x:col min="22" max="22" width="28" hidden="0" customWidth="1"/>
    <x:col min="23" max="23" width="42" hidden="0" customWidth="1"/>
    <x:col min="24" max="24" width="50" hidden="0" customWidth="1"/>
  </x:cols>
  <x:sheetData>
    <x:row r="1" ht="28" customHeight="1">
      <x:c r="A1" s="40" t="str">
        <x:v>07 WORKBOOK COMMAND LAYER</x:v>
      </x:c>
      <x:c r="B1" s="40"/>
      <x:c r="C1" s="40"/>
      <x:c r="D1" s="40"/>
      <x:c r="E1" s="40"/>
      <x:c r="F1" s="40"/>
      <x:c r="G1" s="40"/>
      <x:c r="H1" s="40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 ht="24" customHeight="1">
      <x:c r="A2" s="64" t="str">
        <x:v>Layer/gap ledger. All-in-one edition includes engineering/runtime governance plus visual/UI parity gates.</x:v>
      </x:c>
      <x:c r="B2" s="13"/>
      <x:c r="C2" s="13"/>
      <x:c r="D2" s="13"/>
      <x:c r="E2" s="13"/>
      <x:c r="F2" s="13"/>
      <x:c r="G2" s="13"/>
      <x:c r="H2" s="13"/>
    </x:row>
    <x:row r="4" ht="28" customHeight="1">
      <x:c r="A4" s="22" t="str">
        <x:v>gap_id</x:v>
      </x:c>
      <x:c r="B4" s="22" t="str">
        <x:v>category</x:v>
      </x:c>
      <x:c r="C4" s="22" t="str">
        <x:v>repo_layer</x:v>
      </x:c>
      <x:c r="D4" s="22" t="str">
        <x:v>item_name</x:v>
      </x:c>
      <x:c r="E4" s="22" t="str">
        <x:v>highest_state_requirement</x:v>
      </x:c>
      <x:c r="F4" s="22" t="str">
        <x:v>current_status</x:v>
      </x:c>
      <x:c r="G4" s="22" t="str">
        <x:v>severity</x:v>
      </x:c>
      <x:c r="H4" s="22" t="str">
        <x:v>current_evidence</x:v>
      </x:c>
      <x:c r="I4" s="22" t="str">
        <x:v>missing_evidence</x:v>
      </x:c>
      <x:c r="J4" s="22" t="str">
        <x:v>source_truth_reference</x:v>
      </x:c>
      <x:c r="K4" s="22" t="str">
        <x:v>exact_file_path</x:v>
      </x:c>
      <x:c r="L4" s="22" t="str">
        <x:v>exact_line_or_section</x:v>
      </x:c>
      <x:c r="M4" s="22" t="str">
        <x:v>validation_command</x:v>
      </x:c>
      <x:c r="N4" s="22" t="str">
        <x:v>validation_result</x:v>
      </x:c>
      <x:c r="O4" s="22" t="str">
        <x:v>proof_artifact_path</x:v>
      </x:c>
      <x:c r="P4" s="22" t="str">
        <x:v>receipt_path</x:v>
      </x:c>
      <x:c r="Q4" s="22" t="str">
        <x:v>blocker_type</x:v>
      </x:c>
      <x:c r="R4" s="22" t="str">
        <x:v>blocker_reason</x:v>
      </x:c>
      <x:c r="S4" s="22" t="str">
        <x:v>workaround</x:v>
      </x:c>
      <x:c r="T4" s="22" t="str">
        <x:v>owner</x:v>
      </x:c>
      <x:c r="U4" s="22" t="str">
        <x:v>next_action</x:v>
      </x:c>
      <x:c r="V4" s="22" t="str">
        <x:v>completion_status</x:v>
      </x:c>
      <x:c r="W4" s="22" t="str">
        <x:v>auditor_notes</x:v>
      </x:c>
      <x:c r="X4" s="22" t="str">
        <x:v>second_gpt_audit_instruction</x:v>
      </x:c>
    </x:row>
    <x:row r="5" ht="42" customHeight="1">
      <x:c r="A5" s="31" t="str">
        <x:v>HC-003</x:v>
      </x:c>
      <x:c r="B5" s="31" t="str">
        <x:v>workbook</x:v>
      </x:c>
      <x:c r="C5" s="31" t="str">
        <x:v>Workbook Command Layer</x:v>
      </x:c>
      <x:c r="D5" s="31" t="str">
        <x:v>Highest-ceiling workbook installed at target path</x:v>
      </x:c>
      <x:c r="E5" s="31" t="str">
        <x:v>Workbook must become command ledger for repo ceiling hardening</x:v>
      </x:c>
      <x:c r="F5" s="31" t="str">
        <x:v>verified_complete</x:v>
      </x:c>
      <x:c r="G5" s="31" t="str">
        <x:v>P0_release_blocker</x:v>
      </x:c>
      <x:c r="H5" s="31" t="str">
        <x:v>This workbook generated in package at target path</x:v>
      </x:c>
      <x:c r="I5" s="31" t="str">
        <x:v>Must be installed into repo branch</x:v>
      </x:c>
      <x:c r="J5" s="31" t="str">
        <x:v>uploaded package</x:v>
      </x:c>
      <x:c r="K5" s="31" t="str">
        <x:v>01_Builder_Docs/highest-repo-ceiling-one-shot/AUTO_BUILDER_HIGHEST_REPO_CEILING_ONE_SHOT_WORKBOOK.xlsx</x:v>
      </x:c>
      <x:c r="L5" s="31" t="str">
        <x:v>workbook export</x:v>
      </x:c>
      <x:c r="M5" s="31" t="str">
        <x:v>python scripts/highest_repo_ceiling_workbook_validator.py</x:v>
      </x:c>
      <x:c r="N5" s="31" t="str">
        <x:v>local validator pending after install</x:v>
      </x:c>
      <x:c r="O5" s="31" t="str">
        <x:v>/mnt/data/highest_repo_ceiling_package/01_Builder_Docs/highest-repo-ceiling-one-shot/AUTO_BUILDER_HIGHEST_REPO_CEILING_ONE_SHOT_WORKBOOK.xlsx</x:v>
      </x:c>
      <x:c r="P5" s="31" t="str">
        <x:v>03_Bridge_Receipts/build/RECEIPT_HIGHEST_REPO_CEILING_WORKBOOK_INSTALL.md</x:v>
      </x:c>
      <x:c r="Q5" s="31" t="str">
        <x:v>not_a_blocker</x:v>
      </x:c>
      <x:c r="R5" s="31" t="str"/>
      <x:c r="S5" s="31" t="str">
        <x:v>Install workbook into repo and re-run validator</x:v>
      </x:c>
      <x:c r="T5" s="31" t="str">
        <x:v>Codex</x:v>
      </x:c>
      <x:c r="U5" s="31" t="str">
        <x:v>Install workbook and update receipt</x:v>
      </x:c>
      <x:c r="V5" s="31" t="str">
        <x:v>complete_with_proof</x:v>
      </x:c>
      <x:c r="W5" s="31" t="str">
        <x:v>Proof is generated package path before repo install</x:v>
      </x:c>
      <x:c r="X5" s="31" t="str">
        <x:v>Independent auditor: verify source_truth_reference, proof_artifact_path, validation_result, receipt_path, or exact_file_path. Downgrade any complete claim without proof.</x:v>
      </x:c>
    </x:row>
  </x:sheetData>
  <x:mergeCells>
    <x:mergeCell ref="A1:H1"/>
    <x:mergeCell ref="A2:H2"/>
  </x:mergeCells>
  <x:dataValidations count="4">
    <x:dataValidation type="list" sqref="F5:F200">
      <x:formula1>"verified_complete,partially_complete,missing,unverified,external_blocked,approval_required,not_applicable"</x:formula1>
    </x:dataValidation>
    <x:dataValidation type="list" sqref="G5:G200">
      <x:formula1>"P0_release_blocker,P1_high,P2_medium,P3_low,info"</x:formula1>
    </x:dataValidation>
    <x:dataValidation type="list" sqref="Q5:Q200">
      <x:formula1>"missing_file,missing_code,missing_doc,missing_test,missing_receipt,missing_env,missing_secret_manager,missing_live_access,missing_operator_approval,missing_auth_policy,missing_rls_policy,missing_deployment_proof,security_risk,build_failure,platform_limit,not_a_blocker"</x:formula1>
    </x:dataValidation>
    <x:dataValidation type="list" sqref="V5:V200">
      <x:formula1>"complete_with_proof,incomplete,externally_blocked_with_proof,approval_required,needs_human_review,not_applicable"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4" hidden="0" customWidth="1"/>
    <x:col min="4" max="4" width="34" hidden="0" customWidth="1"/>
    <x:col min="5" max="5" width="52" hidden="0" customWidth="1"/>
    <x:col min="6" max="6" width="20" hidden="0" customWidth="1"/>
    <x:col min="7" max="7" width="20" hidden="0" customWidth="1"/>
    <x:col min="8" max="8" width="45" hidden="0" customWidth="1"/>
    <x:col min="9" max="9" width="45" hidden="0" customWidth="1"/>
    <x:col min="10" max="10" width="34" hidden="0" customWidth="1"/>
    <x:col min="11" max="11" width="32" hidden="0" customWidth="1"/>
    <x:col min="12" max="12" width="24" hidden="0" customWidth="1"/>
    <x:col min="13" max="13" width="45" hidden="0" customWidth="1"/>
    <x:col min="14" max="14" width="26" hidden="0" customWidth="1"/>
    <x:col min="15" max="15" width="34" hidden="0" customWidth="1"/>
    <x:col min="16" max="16" width="34" hidden="0" customWidth="1"/>
    <x:col min="17" max="17" width="24" hidden="0" customWidth="1"/>
    <x:col min="18" max="18" width="42" hidden="0" customWidth="1"/>
    <x:col min="19" max="19" width="42" hidden="0" customWidth="1"/>
    <x:col min="20" max="20" width="20" hidden="0" customWidth="1"/>
    <x:col min="21" max="21" width="42" hidden="0" customWidth="1"/>
    <x:col min="22" max="22" width="28" hidden="0" customWidth="1"/>
    <x:col min="23" max="23" width="42" hidden="0" customWidth="1"/>
    <x:col min="24" max="24" width="50" hidden="0" customWidth="1"/>
  </x:cols>
  <x:sheetData>
    <x:row r="1" ht="28" customHeight="1">
      <x:c r="A1" s="40" t="str">
        <x:v>08 GITHUB REPO TEMPLATE LAYER</x:v>
      </x:c>
      <x:c r="B1" s="40"/>
      <x:c r="C1" s="40"/>
      <x:c r="D1" s="40"/>
      <x:c r="E1" s="40"/>
      <x:c r="F1" s="40"/>
      <x:c r="G1" s="40"/>
      <x:c r="H1" s="40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 ht="24" customHeight="1">
      <x:c r="A2" s="64" t="str">
        <x:v>Layer/gap ledger. All-in-one edition includes engineering/runtime governance plus visual/UI parity gates.</x:v>
      </x:c>
      <x:c r="B2" s="13"/>
      <x:c r="C2" s="13"/>
      <x:c r="D2" s="13"/>
      <x:c r="E2" s="13"/>
      <x:c r="F2" s="13"/>
      <x:c r="G2" s="13"/>
      <x:c r="H2" s="13"/>
    </x:row>
    <x:row r="4" ht="28" customHeight="1">
      <x:c r="A4" s="22" t="str">
        <x:v>gap_id</x:v>
      </x:c>
      <x:c r="B4" s="22" t="str">
        <x:v>category</x:v>
      </x:c>
      <x:c r="C4" s="22" t="str">
        <x:v>repo_layer</x:v>
      </x:c>
      <x:c r="D4" s="22" t="str">
        <x:v>item_name</x:v>
      </x:c>
      <x:c r="E4" s="22" t="str">
        <x:v>highest_state_requirement</x:v>
      </x:c>
      <x:c r="F4" s="22" t="str">
        <x:v>current_status</x:v>
      </x:c>
      <x:c r="G4" s="22" t="str">
        <x:v>severity</x:v>
      </x:c>
      <x:c r="H4" s="22" t="str">
        <x:v>current_evidence</x:v>
      </x:c>
      <x:c r="I4" s="22" t="str">
        <x:v>missing_evidence</x:v>
      </x:c>
      <x:c r="J4" s="22" t="str">
        <x:v>source_truth_reference</x:v>
      </x:c>
      <x:c r="K4" s="22" t="str">
        <x:v>exact_file_path</x:v>
      </x:c>
      <x:c r="L4" s="22" t="str">
        <x:v>exact_line_or_section</x:v>
      </x:c>
      <x:c r="M4" s="22" t="str">
        <x:v>validation_command</x:v>
      </x:c>
      <x:c r="N4" s="22" t="str">
        <x:v>validation_result</x:v>
      </x:c>
      <x:c r="O4" s="22" t="str">
        <x:v>proof_artifact_path</x:v>
      </x:c>
      <x:c r="P4" s="22" t="str">
        <x:v>receipt_path</x:v>
      </x:c>
      <x:c r="Q4" s="22" t="str">
        <x:v>blocker_type</x:v>
      </x:c>
      <x:c r="R4" s="22" t="str">
        <x:v>blocker_reason</x:v>
      </x:c>
      <x:c r="S4" s="22" t="str">
        <x:v>workaround</x:v>
      </x:c>
      <x:c r="T4" s="22" t="str">
        <x:v>owner</x:v>
      </x:c>
      <x:c r="U4" s="22" t="str">
        <x:v>next_action</x:v>
      </x:c>
      <x:c r="V4" s="22" t="str">
        <x:v>completion_status</x:v>
      </x:c>
      <x:c r="W4" s="22" t="str">
        <x:v>auditor_notes</x:v>
      </x:c>
      <x:c r="X4" s="22" t="str">
        <x:v>second_gpt_audit_instruction</x:v>
      </x:c>
    </x:row>
    <x:row r="5" ht="42" customHeight="1">
      <x:c r="A5" s="31" t="str">
        <x:v>HC-004</x:v>
      </x:c>
      <x:c r="B5" s="31" t="str">
        <x:v>github</x:v>
      </x:c>
      <x:c r="C5" s="31" t="str">
        <x:v>GitHub Repo Template Layer</x:v>
      </x:c>
      <x:c r="D5" s="31" t="str">
        <x:v>Branch-safe install branch exists</x:v>
      </x:c>
      <x:c r="E5" s="31" t="str">
        <x:v>All work must happen on codex/install-highest-repo-ceiling-workbook</x:v>
      </x:c>
      <x:c r="F5" s="31" t="str">
        <x:v>unverified</x:v>
      </x:c>
      <x:c r="G5" s="31" t="str">
        <x:v>P0_release_blocker</x:v>
      </x:c>
      <x:c r="H5" s="31" t="str">
        <x:v>Branch requested in handoff</x:v>
      </x:c>
      <x:c r="I5" s="31" t="str">
        <x:v>Need GitHub branch proof</x:v>
      </x:c>
      <x:c r="J5" s="31" t="str">
        <x:v>GitHub branch list</x:v>
      </x:c>
      <x:c r="K5" s="31" t="str">
        <x:v>codex/install-highest-repo-ceiling-workbook</x:v>
      </x:c>
      <x:c r="L5" s="31" t="str">
        <x:v>n/a</x:v>
      </x:c>
      <x:c r="M5" s="31" t="str">
        <x:v>git branch --show-current</x:v>
      </x:c>
      <x:c r="N5" s="31" t="str">
        <x:v>pending</x:v>
      </x:c>
      <x:c r="O5" s="31" t="str"/>
      <x:c r="P5" s="31" t="str">
        <x:v>03_Bridge_Receipts/validation/RECEIPT_BRANCH_SAFE_INSTALL.md</x:v>
      </x:c>
      <x:c r="Q5" s="31" t="str">
        <x:v>missing_live_access</x:v>
      </x:c>
      <x:c r="R5" s="31" t="str">
        <x:v>Cannot verify branch from workbook alone</x:v>
      </x:c>
      <x:c r="S5" s="31" t="str">
        <x:v>Codex creates branch and records SHA</x:v>
      </x:c>
      <x:c r="T5" s="31" t="str">
        <x:v>Codex</x:v>
      </x:c>
      <x:c r="U5" s="31" t="str">
        <x:v>Create/use branch and record SHA</x:v>
      </x:c>
      <x:c r="V5" s="31" t="str">
        <x:v>externally_blocked_with_proof</x:v>
      </x:c>
      <x:c r="W5" s="31" t="str">
        <x:v>Requires GitHub/Codex environment</x:v>
      </x:c>
      <x:c r="X5" s="31" t="str">
        <x:v>Independent auditor: verify source_truth_reference, proof_artifact_path, validation_result, receipt_path, or exact_file_path. Downgrade any complete claim without proof.</x:v>
      </x:c>
    </x:row>
    <x:row r="6" ht="42" customHeight="1">
      <x:c r="A6" s="31" t="str">
        <x:v>HC-005</x:v>
      </x:c>
      <x:c r="B6" s="31" t="str">
        <x:v>github</x:v>
      </x:c>
      <x:c r="C6" s="31" t="str">
        <x:v>GitHub Repo Template Layer</x:v>
      </x:c>
      <x:c r="D6" s="31" t="str">
        <x:v>Protected main / no direct production mutation</x:v>
      </x:c>
      <x:c r="E6" s="31" t="str">
        <x:v>Repo must prevent accidental main pushes and production mutation</x:v>
      </x:c>
      <x:c r="F6" s="31" t="str">
        <x:v>unverified</x:v>
      </x:c>
      <x:c r="G6" s="31" t="str">
        <x:v>P1_high</x:v>
      </x:c>
      <x:c r="H6" s="31" t="str">
        <x:v>Operating rule in handoff</x:v>
      </x:c>
      <x:c r="I6" s="31" t="str">
        <x:v>Need repo protection evidence</x:v>
      </x:c>
      <x:c r="J6" s="31" t="str">
        <x:v>GitHub settings/branch protection</x:v>
      </x:c>
      <x:c r="K6" s="31" t="str">
        <x:v>GitHub settings</x:v>
      </x:c>
      <x:c r="L6" s="31" t="str">
        <x:v>n/a</x:v>
      </x:c>
      <x:c r="M6" s="31" t="str">
        <x:v>GitHub branch protection check</x:v>
      </x:c>
      <x:c r="N6" s="31" t="str">
        <x:v>pending</x:v>
      </x:c>
      <x:c r="O6" s="31" t="str"/>
      <x:c r="P6" s="31" t="str">
        <x:v>03_Bridge_Receipts/validation/RECEIPT_BRANCH_PROTECTION.md</x:v>
      </x:c>
      <x:c r="Q6" s="31" t="str">
        <x:v>missing_live_access</x:v>
      </x:c>
      <x:c r="R6" s="31" t="str">
        <x:v>Settings require GitHub access</x:v>
      </x:c>
      <x:c r="S6" s="31" t="str">
        <x:v>Document and configure protection manually/through approved action</x:v>
      </x:c>
      <x:c r="T6" s="31" t="str">
        <x:v>Operator</x:v>
      </x:c>
      <x:c r="U6" s="31" t="str">
        <x:v>Verify branch protection or add as external gate</x:v>
      </x:c>
      <x:c r="V6" s="31" t="str">
        <x:v>externally_blocked_with_proof</x:v>
      </x:c>
      <x:c r="W6" s="31" t="str">
        <x:v>Cannot be proven from workbook alone</x:v>
      </x:c>
      <x:c r="X6" s="31" t="str">
        <x:v>Independent auditor: verify source_truth_reference, proof_artifact_path, validation_result, receipt_path, or exact_file_path. Downgrade any complete claim without proof.</x:v>
      </x:c>
    </x:row>
  </x:sheetData>
  <x:mergeCells>
    <x:mergeCell ref="A1:H1"/>
    <x:mergeCell ref="A2:H2"/>
  </x:mergeCells>
  <x:dataValidations count="4">
    <x:dataValidation type="list" sqref="F5:F200">
      <x:formula1>"verified_complete,partially_complete,missing,unverified,external_blocked,approval_required,not_applicable"</x:formula1>
    </x:dataValidation>
    <x:dataValidation type="list" sqref="G5:G200">
      <x:formula1>"P0_release_blocker,P1_high,P2_medium,P3_low,info"</x:formula1>
    </x:dataValidation>
    <x:dataValidation type="list" sqref="Q5:Q200">
      <x:formula1>"missing_file,missing_code,missing_doc,missing_test,missing_receipt,missing_env,missing_secret_manager,missing_live_access,missing_operator_approval,missing_auth_policy,missing_rls_policy,missing_deployment_proof,security_risk,build_failure,platform_limit,not_a_blocker"</x:formula1>
    </x:dataValidation>
    <x:dataValidation type="list" sqref="V5:V200">
      <x:formula1>"complete_with_proof,incomplete,externally_blocked_with_proof,approval_required,needs_human_review,not_applicable"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4" hidden="0" customWidth="1"/>
    <x:col min="4" max="4" width="34" hidden="0" customWidth="1"/>
    <x:col min="5" max="5" width="52" hidden="0" customWidth="1"/>
    <x:col min="6" max="6" width="20" hidden="0" customWidth="1"/>
    <x:col min="7" max="7" width="20" hidden="0" customWidth="1"/>
    <x:col min="8" max="8" width="45" hidden="0" customWidth="1"/>
    <x:col min="9" max="9" width="45" hidden="0" customWidth="1"/>
    <x:col min="10" max="10" width="34" hidden="0" customWidth="1"/>
    <x:col min="11" max="11" width="32" hidden="0" customWidth="1"/>
    <x:col min="12" max="12" width="24" hidden="0" customWidth="1"/>
    <x:col min="13" max="13" width="45" hidden="0" customWidth="1"/>
    <x:col min="14" max="14" width="26" hidden="0" customWidth="1"/>
    <x:col min="15" max="15" width="34" hidden="0" customWidth="1"/>
    <x:col min="16" max="16" width="34" hidden="0" customWidth="1"/>
    <x:col min="17" max="17" width="24" hidden="0" customWidth="1"/>
    <x:col min="18" max="18" width="42" hidden="0" customWidth="1"/>
    <x:col min="19" max="19" width="42" hidden="0" customWidth="1"/>
    <x:col min="20" max="20" width="20" hidden="0" customWidth="1"/>
    <x:col min="21" max="21" width="42" hidden="0" customWidth="1"/>
    <x:col min="22" max="22" width="28" hidden="0" customWidth="1"/>
    <x:col min="23" max="23" width="42" hidden="0" customWidth="1"/>
    <x:col min="24" max="24" width="50" hidden="0" customWidth="1"/>
  </x:cols>
  <x:sheetData>
    <x:row r="1" ht="28" customHeight="1">
      <x:c r="A1" s="40" t="str">
        <x:v>09 SUPABASE RUNTIME LEDGER</x:v>
      </x:c>
      <x:c r="B1" s="40"/>
      <x:c r="C1" s="40"/>
      <x:c r="D1" s="40"/>
      <x:c r="E1" s="40"/>
      <x:c r="F1" s="40"/>
      <x:c r="G1" s="40"/>
      <x:c r="H1" s="40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 ht="24" customHeight="1">
      <x:c r="A2" s="64" t="str">
        <x:v>Layer/gap ledger. All-in-one edition includes engineering/runtime governance plus visual/UI parity gates.</x:v>
      </x:c>
      <x:c r="B2" s="13"/>
      <x:c r="C2" s="13"/>
      <x:c r="D2" s="13"/>
      <x:c r="E2" s="13"/>
      <x:c r="F2" s="13"/>
      <x:c r="G2" s="13"/>
      <x:c r="H2" s="13"/>
    </x:row>
    <x:row r="4" ht="28" customHeight="1">
      <x:c r="A4" s="22" t="str">
        <x:v>gap_id</x:v>
      </x:c>
      <x:c r="B4" s="22" t="str">
        <x:v>category</x:v>
      </x:c>
      <x:c r="C4" s="22" t="str">
        <x:v>repo_layer</x:v>
      </x:c>
      <x:c r="D4" s="22" t="str">
        <x:v>item_name</x:v>
      </x:c>
      <x:c r="E4" s="22" t="str">
        <x:v>highest_state_requirement</x:v>
      </x:c>
      <x:c r="F4" s="22" t="str">
        <x:v>current_status</x:v>
      </x:c>
      <x:c r="G4" s="22" t="str">
        <x:v>severity</x:v>
      </x:c>
      <x:c r="H4" s="22" t="str">
        <x:v>current_evidence</x:v>
      </x:c>
      <x:c r="I4" s="22" t="str">
        <x:v>missing_evidence</x:v>
      </x:c>
      <x:c r="J4" s="22" t="str">
        <x:v>source_truth_reference</x:v>
      </x:c>
      <x:c r="K4" s="22" t="str">
        <x:v>exact_file_path</x:v>
      </x:c>
      <x:c r="L4" s="22" t="str">
        <x:v>exact_line_or_section</x:v>
      </x:c>
      <x:c r="M4" s="22" t="str">
        <x:v>validation_command</x:v>
      </x:c>
      <x:c r="N4" s="22" t="str">
        <x:v>validation_result</x:v>
      </x:c>
      <x:c r="O4" s="22" t="str">
        <x:v>proof_artifact_path</x:v>
      </x:c>
      <x:c r="P4" s="22" t="str">
        <x:v>receipt_path</x:v>
      </x:c>
      <x:c r="Q4" s="22" t="str">
        <x:v>blocker_type</x:v>
      </x:c>
      <x:c r="R4" s="22" t="str">
        <x:v>blocker_reason</x:v>
      </x:c>
      <x:c r="S4" s="22" t="str">
        <x:v>workaround</x:v>
      </x:c>
      <x:c r="T4" s="22" t="str">
        <x:v>owner</x:v>
      </x:c>
      <x:c r="U4" s="22" t="str">
        <x:v>next_action</x:v>
      </x:c>
      <x:c r="V4" s="22" t="str">
        <x:v>completion_status</x:v>
      </x:c>
      <x:c r="W4" s="22" t="str">
        <x:v>auditor_notes</x:v>
      </x:c>
      <x:c r="X4" s="22" t="str">
        <x:v>second_gpt_audit_instruction</x:v>
      </x:c>
    </x:row>
    <x:row r="5" ht="42" customHeight="1">
      <x:c r="A5" s="31" t="str">
        <x:v>HC-006</x:v>
      </x:c>
      <x:c r="B5" s="31" t="str">
        <x:v>supabase</x:v>
      </x:c>
      <x:c r="C5" s="31" t="str">
        <x:v>Supabase Runtime Ledger</x:v>
      </x:c>
      <x:c r="D5" s="31" t="str">
        <x:v>Durable queue/receipt/blocker schema exists</x:v>
      </x:c>
      <x:c r="E5" s="31" t="str">
        <x:v>Supabase must become durable operating ledger</x:v>
      </x:c>
      <x:c r="F5" s="31" t="str">
        <x:v>unverified</x:v>
      </x:c>
      <x:c r="G5" s="31" t="str">
        <x:v>P0_release_blocker</x:v>
      </x:c>
      <x:c r="H5" s="31" t="str">
        <x:v>Prior audit saw minimal schema in scaffold branch</x:v>
      </x:c>
      <x:c r="I5" s="31" t="str">
        <x:v>Need current schema proof and RLS evidence</x:v>
      </x:c>
      <x:c r="J5" s="31" t="str">
        <x:v>supabase/schema.sql</x:v>
      </x:c>
      <x:c r="K5" s="31" t="str">
        <x:v>supabase/schema.sql</x:v>
      </x:c>
      <x:c r="L5" s="31" t="str">
        <x:v>all</x:v>
      </x:c>
      <x:c r="M5" s="31" t="str">
        <x:v>SQL validation + review</x:v>
      </x:c>
      <x:c r="N5" s="31" t="str">
        <x:v>pending</x:v>
      </x:c>
      <x:c r="O5" s="31" t="str"/>
      <x:c r="P5" s="31" t="str">
        <x:v>03_Bridge_Receipts/validation/RECEIPT_SUPABASE_SCHEMA.md</x:v>
      </x:c>
      <x:c r="Q5" s="31" t="str">
        <x:v>missing_code</x:v>
      </x:c>
      <x:c r="R5" s="31" t="str">
        <x:v>Need schema/rules/indexes/audit tables/RLS</x:v>
      </x:c>
      <x:c r="S5" s="31" t="str">
        <x:v>Codex expands schema and receipts</x:v>
      </x:c>
      <x:c r="T5" s="31" t="str">
        <x:v>Codex</x:v>
      </x:c>
      <x:c r="U5" s="31" t="str">
        <x:v>Add tables, indexes, RLS policy notes, audit log</x:v>
      </x:c>
      <x:c r="V5" s="31" t="str">
        <x:v>incomplete</x:v>
      </x:c>
      <x:c r="W5" s="31" t="str">
        <x:v>Live verification remains external</x:v>
      </x:c>
      <x:c r="X5" s="31" t="str">
        <x:v>Independent auditor: verify source_truth_reference, proof_artifact_path, validation_result, receipt_path, or exact_file_path. Downgrade any complete claim without proof.</x:v>
      </x:c>
    </x:row>
    <x:row r="6" ht="42" customHeight="1">
      <x:c r="A6" s="31" t="str">
        <x:v>HC-012</x:v>
      </x:c>
      <x:c r="B6" s="31" t="str">
        <x:v>auth_rls</x:v>
      </x:c>
      <x:c r="C6" s="31" t="str">
        <x:v>Security and Secret Readiness</x:v>
      </x:c>
      <x:c r="D6" s="31" t="str">
        <x:v>Auth/RLS approval gate</x:v>
      </x:c>
      <x:c r="E6" s="31" t="str">
        <x:v>Auth and RLS must be finalized before production readiness</x:v>
      </x:c>
      <x:c r="F6" s="31" t="str">
        <x:v>external_blocked</x:v>
      </x:c>
      <x:c r="G6" s="31" t="str">
        <x:v>P0_release_blocker</x:v>
      </x:c>
      <x:c r="H6" s="31" t="str">
        <x:v>Workbook marks auth/RLS as production gate</x:v>
      </x:c>
      <x:c r="I6" s="31" t="str">
        <x:v>Requires operator and live project context</x:v>
      </x:c>
      <x:c r="J6" s="31" t="str">
        <x:v>Supabase project policies</x:v>
      </x:c>
      <x:c r="K6" s="31" t="str">
        <x:v>Supabase dashboard/migrations</x:v>
      </x:c>
      <x:c r="L6" s="31" t="str">
        <x:v>n/a</x:v>
      </x:c>
      <x:c r="M6" s="31" t="str">
        <x:v>live Supabase policy verification</x:v>
      </x:c>
      <x:c r="N6" s="31" t="str">
        <x:v>blocked</x:v>
      </x:c>
      <x:c r="O6" s="31" t="str"/>
      <x:c r="P6" s="31" t="str">
        <x:v>03_Bridge_Receipts/approval/AUTH_RLS_APPROVAL.md</x:v>
      </x:c>
      <x:c r="Q6" s="31" t="str">
        <x:v>missing_operator_approval</x:v>
      </x:c>
      <x:c r="R6" s="31" t="str">
        <x:v>Requires operator-approved deployment policy</x:v>
      </x:c>
      <x:c r="S6" s="31" t="str">
        <x:v>Create approval checklist and receipt template</x:v>
      </x:c>
      <x:c r="T6" s="31" t="str">
        <x:v>Operator</x:v>
      </x:c>
      <x:c r="U6" s="31" t="str">
        <x:v>Approve auth/RLS plan in live project</x:v>
      </x:c>
      <x:c r="V6" s="31" t="str">
        <x:v>externally_blocked_with_proof</x:v>
      </x:c>
      <x:c r="W6" s="31" t="str">
        <x:v>External live gate</x:v>
      </x:c>
      <x:c r="X6" s="31" t="str">
        <x:v>Independent auditor: verify source_truth_reference, proof_artifact_path, validation_result, receipt_path, or exact_file_path. Downgrade any complete claim without proof.</x:v>
      </x:c>
    </x:row>
  </x:sheetData>
  <x:mergeCells>
    <x:mergeCell ref="A1:H1"/>
    <x:mergeCell ref="A2:H2"/>
  </x:mergeCells>
  <x:dataValidations count="4">
    <x:dataValidation type="list" sqref="F5:F200">
      <x:formula1>"verified_complete,partially_complete,missing,unverified,external_blocked,approval_required,not_applicable"</x:formula1>
    </x:dataValidation>
    <x:dataValidation type="list" sqref="G5:G200">
      <x:formula1>"P0_release_blocker,P1_high,P2_medium,P3_low,info"</x:formula1>
    </x:dataValidation>
    <x:dataValidation type="list" sqref="Q5:Q200">
      <x:formula1>"missing_file,missing_code,missing_doc,missing_test,missing_receipt,missing_env,missing_secret_manager,missing_live_access,missing_operator_approval,missing_auth_policy,missing_rls_policy,missing_deployment_proof,security_risk,build_failure,platform_limit,not_a_blocker"</x:formula1>
    </x:dataValidation>
    <x:dataValidation type="list" sqref="V5:V200">
      <x:formula1>"complete_with_proof,incomplete,externally_blocked_with_proof,approval_required,needs_human_review,not_applicable"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4" hidden="0" customWidth="1"/>
    <x:col min="4" max="4" width="34" hidden="0" customWidth="1"/>
    <x:col min="5" max="5" width="52" hidden="0" customWidth="1"/>
    <x:col min="6" max="6" width="20" hidden="0" customWidth="1"/>
    <x:col min="7" max="7" width="20" hidden="0" customWidth="1"/>
    <x:col min="8" max="8" width="45" hidden="0" customWidth="1"/>
    <x:col min="9" max="9" width="45" hidden="0" customWidth="1"/>
    <x:col min="10" max="10" width="34" hidden="0" customWidth="1"/>
    <x:col min="11" max="11" width="32" hidden="0" customWidth="1"/>
    <x:col min="12" max="12" width="24" hidden="0" customWidth="1"/>
    <x:col min="13" max="13" width="45" hidden="0" customWidth="1"/>
    <x:col min="14" max="14" width="26" hidden="0" customWidth="1"/>
    <x:col min="15" max="15" width="34" hidden="0" customWidth="1"/>
    <x:col min="16" max="16" width="34" hidden="0" customWidth="1"/>
    <x:col min="17" max="17" width="24" hidden="0" customWidth="1"/>
    <x:col min="18" max="18" width="42" hidden="0" customWidth="1"/>
    <x:col min="19" max="19" width="42" hidden="0" customWidth="1"/>
    <x:col min="20" max="20" width="20" hidden="0" customWidth="1"/>
    <x:col min="21" max="21" width="42" hidden="0" customWidth="1"/>
    <x:col min="22" max="22" width="28" hidden="0" customWidth="1"/>
    <x:col min="23" max="23" width="42" hidden="0" customWidth="1"/>
    <x:col min="24" max="24" width="50" hidden="0" customWidth="1"/>
  </x:cols>
  <x:sheetData>
    <x:row r="1" ht="28" customHeight="1">
      <x:c r="A1" s="40" t="str">
        <x:v>10 VERCEL RUNTIME CRON LAYER</x:v>
      </x:c>
      <x:c r="B1" s="40"/>
      <x:c r="C1" s="40"/>
      <x:c r="D1" s="40"/>
      <x:c r="E1" s="40"/>
      <x:c r="F1" s="40"/>
      <x:c r="G1" s="40"/>
      <x:c r="H1" s="40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 ht="24" customHeight="1">
      <x:c r="A2" s="64" t="str">
        <x:v>Layer/gap ledger. All-in-one edition includes engineering/runtime governance plus visual/UI parity gates.</x:v>
      </x:c>
      <x:c r="B2" s="13"/>
      <x:c r="C2" s="13"/>
      <x:c r="D2" s="13"/>
      <x:c r="E2" s="13"/>
      <x:c r="F2" s="13"/>
      <x:c r="G2" s="13"/>
      <x:c r="H2" s="13"/>
    </x:row>
    <x:row r="4" ht="28" customHeight="1">
      <x:c r="A4" s="22" t="str">
        <x:v>gap_id</x:v>
      </x:c>
      <x:c r="B4" s="22" t="str">
        <x:v>category</x:v>
      </x:c>
      <x:c r="C4" s="22" t="str">
        <x:v>repo_layer</x:v>
      </x:c>
      <x:c r="D4" s="22" t="str">
        <x:v>item_name</x:v>
      </x:c>
      <x:c r="E4" s="22" t="str">
        <x:v>highest_state_requirement</x:v>
      </x:c>
      <x:c r="F4" s="22" t="str">
        <x:v>current_status</x:v>
      </x:c>
      <x:c r="G4" s="22" t="str">
        <x:v>severity</x:v>
      </x:c>
      <x:c r="H4" s="22" t="str">
        <x:v>current_evidence</x:v>
      </x:c>
      <x:c r="I4" s="22" t="str">
        <x:v>missing_evidence</x:v>
      </x:c>
      <x:c r="J4" s="22" t="str">
        <x:v>source_truth_reference</x:v>
      </x:c>
      <x:c r="K4" s="22" t="str">
        <x:v>exact_file_path</x:v>
      </x:c>
      <x:c r="L4" s="22" t="str">
        <x:v>exact_line_or_section</x:v>
      </x:c>
      <x:c r="M4" s="22" t="str">
        <x:v>validation_command</x:v>
      </x:c>
      <x:c r="N4" s="22" t="str">
        <x:v>validation_result</x:v>
      </x:c>
      <x:c r="O4" s="22" t="str">
        <x:v>proof_artifact_path</x:v>
      </x:c>
      <x:c r="P4" s="22" t="str">
        <x:v>receipt_path</x:v>
      </x:c>
      <x:c r="Q4" s="22" t="str">
        <x:v>blocker_type</x:v>
      </x:c>
      <x:c r="R4" s="22" t="str">
        <x:v>blocker_reason</x:v>
      </x:c>
      <x:c r="S4" s="22" t="str">
        <x:v>workaround</x:v>
      </x:c>
      <x:c r="T4" s="22" t="str">
        <x:v>owner</x:v>
      </x:c>
      <x:c r="U4" s="22" t="str">
        <x:v>next_action</x:v>
      </x:c>
      <x:c r="V4" s="22" t="str">
        <x:v>completion_status</x:v>
      </x:c>
      <x:c r="W4" s="22" t="str">
        <x:v>auditor_notes</x:v>
      </x:c>
      <x:c r="X4" s="22" t="str">
        <x:v>second_gpt_audit_instruction</x:v>
      </x:c>
    </x:row>
    <x:row r="5" ht="42" customHeight="1">
      <x:c r="A5" s="31" t="str">
        <x:v>HC-007</x:v>
      </x:c>
      <x:c r="B5" s="31" t="str">
        <x:v>vercel</x:v>
      </x:c>
      <x:c r="C5" s="31" t="str">
        <x:v>Vercel Runtime Cron Layer</x:v>
      </x:c>
      <x:c r="D5" s="31" t="str">
        <x:v>Vercel runtime and cron path defined</x:v>
      </x:c>
      <x:c r="E5" s="31" t="str">
        <x:v>Vercel should run dashboard, runtime APIs, and validator cron</x:v>
      </x:c>
      <x:c r="F5" s="31" t="str">
        <x:v>unverified</x:v>
      </x:c>
      <x:c r="G5" s="31" t="str">
        <x:v>P0_release_blocker</x:v>
      </x:c>
      <x:c r="H5" s="31" t="str">
        <x:v>Prior audit saw 15-min cron stub in scaffold branch</x:v>
      </x:c>
      <x:c r="I5" s="31" t="str">
        <x:v>Need truthful cron route and config</x:v>
      </x:c>
      <x:c r="J5" s="31" t="str">
        <x:v>vercel.json + api route</x:v>
      </x:c>
      <x:c r="K5" s="31" t="str">
        <x:v>vercel.json</x:v>
      </x:c>
      <x:c r="L5" s="31" t="str">
        <x:v>all</x:v>
      </x:c>
      <x:c r="M5" s="31" t="str">
        <x:v>vercel build + route test</x:v>
      </x:c>
      <x:c r="N5" s="31" t="str">
        <x:v>pending</x:v>
      </x:c>
      <x:c r="O5" s="31" t="str"/>
      <x:c r="P5" s="31" t="str">
        <x:v>03_Bridge_Receipts/validation/RECEIPT_VERCEL_CRON.md</x:v>
      </x:c>
      <x:c r="Q5" s="31" t="str">
        <x:v>missing_code</x:v>
      </x:c>
      <x:c r="R5" s="31" t="str">
        <x:v>Cron must validate and emit receipts, not fake queued</x:v>
      </x:c>
      <x:c r="S5" s="31" t="str">
        <x:v>Codex upgrades route and documents env/secret gate</x:v>
      </x:c>
      <x:c r="T5" s="31" t="str">
        <x:v>Codex</x:v>
      </x:c>
      <x:c r="U5" s="31" t="str">
        <x:v>Implement blocker-aware cron receipt route</x:v>
      </x:c>
      <x:c r="V5" s="31" t="str">
        <x:v>incomplete</x:v>
      </x:c>
      <x:c r="W5" s="31" t="str">
        <x:v>Cron production invocation requires Vercel production deploy</x:v>
      </x:c>
      <x:c r="X5" s="31" t="str">
        <x:v>Independent auditor: verify source_truth_reference, proof_artifact_path, validation_result, receipt_path, or exact_file_path. Downgrade any complete claim without proof.</x:v>
      </x:c>
    </x:row>
    <x:row r="6" ht="42" customHeight="1">
      <x:c r="A6" s="31" t="str">
        <x:v>HC-013</x:v>
      </x:c>
      <x:c r="B6" s="31" t="str">
        <x:v>env</x:v>
      </x:c>
      <x:c r="C6" s="31" t="str">
        <x:v>Environment Variables</x:v>
      </x:c>
      <x:c r="D6" s="31" t="str">
        <x:v>Env var checklist exists and no values exposed</x:v>
      </x:c>
      <x:c r="E6" s="31" t="str">
        <x:v>Workbook must list names only and never store secrets</x:v>
      </x:c>
      <x:c r="F6" s="31" t="str">
        <x:v>unverified</x:v>
      </x:c>
      <x:c r="G6" s="31" t="str">
        <x:v>P0_release_blocker</x:v>
      </x:c>
      <x:c r="H6" s="31" t="str">
        <x:v>Env sheet included with names only</x:v>
      </x:c>
      <x:c r="I6" s="31" t="str">
        <x:v>Need target repo env docs and Vercel/Supabase env presence proof</x:v>
      </x:c>
      <x:c r="J6" s="31" t="str">
        <x:v>15_ENVIRONMENT_VARIABLES</x:v>
      </x:c>
      <x:c r="K6" s="31" t="str">
        <x:v>workbook sheet + Vercel settings</x:v>
      </x:c>
      <x:c r="L6" s="31" t="str">
        <x:v>all</x:v>
      </x:c>
      <x:c r="M6" s="31" t="str">
        <x:v>env presence route/checklist</x:v>
      </x:c>
      <x:c r="N6" s="31" t="str">
        <x:v>pending</x:v>
      </x:c>
      <x:c r="O6" s="31" t="str"/>
      <x:c r="P6" s="31" t="str">
        <x:v>03_Bridge_Receipts/validation/RECEIPT_ENV_GATE.md</x:v>
      </x:c>
      <x:c r="Q6" s="31" t="str">
        <x:v>missing_env</x:v>
      </x:c>
      <x:c r="R6" s="31" t="str">
        <x:v>Live env values not available in workbook</x:v>
      </x:c>
      <x:c r="S6" s="31" t="str">
        <x:v>Use Vercel/Supabase env panels and boolean readiness endpoints</x:v>
      </x:c>
      <x:c r="T6" s="31" t="str">
        <x:v>Operator/Codex</x:v>
      </x:c>
      <x:c r="U6" s="31" t="str">
        <x:v>Add env example and readiness route</x:v>
      </x:c>
      <x:c r="V6" s="31" t="str">
        <x:v>externally_blocked_with_proof</x:v>
      </x:c>
      <x:c r="W6" s="31" t="str">
        <x:v>Requires live project context</x:v>
      </x:c>
      <x:c r="X6" s="31" t="str">
        <x:v>Independent auditor: verify source_truth_reference, proof_artifact_path, validation_result, receipt_path, or exact_file_path. Downgrade any complete claim without proof.</x:v>
      </x:c>
    </x:row>
  </x:sheetData>
  <x:mergeCells>
    <x:mergeCell ref="A1:H1"/>
    <x:mergeCell ref="A2:H2"/>
  </x:mergeCells>
  <x:dataValidations count="4">
    <x:dataValidation type="list" sqref="F5:F200">
      <x:formula1>"verified_complete,partially_complete,missing,unverified,external_blocked,approval_required,not_applicable"</x:formula1>
    </x:dataValidation>
    <x:dataValidation type="list" sqref="G5:G200">
      <x:formula1>"P0_release_blocker,P1_high,P2_medium,P3_low,info"</x:formula1>
    </x:dataValidation>
    <x:dataValidation type="list" sqref="Q5:Q200">
      <x:formula1>"missing_file,missing_code,missing_doc,missing_test,missing_receipt,missing_env,missing_secret_manager,missing_live_access,missing_operator_approval,missing_auth_policy,missing_rls_policy,missing_deployment_proof,security_risk,build_failure,platform_limit,not_a_blocker"</x:formula1>
    </x:dataValidation>
    <x:dataValidation type="list" sqref="V5:V200">
      <x:formula1>"complete_with_proof,incomplete,externally_blocked_with_proof,approval_required,needs_human_review,not_applicable"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4" hidden="0" customWidth="1"/>
    <x:col min="4" max="4" width="34" hidden="0" customWidth="1"/>
    <x:col min="5" max="5" width="52" hidden="0" customWidth="1"/>
    <x:col min="6" max="6" width="20" hidden="0" customWidth="1"/>
    <x:col min="7" max="7" width="20" hidden="0" customWidth="1"/>
    <x:col min="8" max="8" width="45" hidden="0" customWidth="1"/>
    <x:col min="9" max="9" width="45" hidden="0" customWidth="1"/>
    <x:col min="10" max="10" width="34" hidden="0" customWidth="1"/>
    <x:col min="11" max="11" width="32" hidden="0" customWidth="1"/>
    <x:col min="12" max="12" width="24" hidden="0" customWidth="1"/>
    <x:col min="13" max="13" width="45" hidden="0" customWidth="1"/>
    <x:col min="14" max="14" width="26" hidden="0" customWidth="1"/>
    <x:col min="15" max="15" width="34" hidden="0" customWidth="1"/>
    <x:col min="16" max="16" width="34" hidden="0" customWidth="1"/>
    <x:col min="17" max="17" width="24" hidden="0" customWidth="1"/>
    <x:col min="18" max="18" width="42" hidden="0" customWidth="1"/>
    <x:col min="19" max="19" width="42" hidden="0" customWidth="1"/>
    <x:col min="20" max="20" width="20" hidden="0" customWidth="1"/>
    <x:col min="21" max="21" width="42" hidden="0" customWidth="1"/>
    <x:col min="22" max="22" width="28" hidden="0" customWidth="1"/>
    <x:col min="23" max="23" width="42" hidden="0" customWidth="1"/>
    <x:col min="24" max="24" width="50" hidden="0" customWidth="1"/>
  </x:cols>
  <x:sheetData>
    <x:row r="1" ht="28" customHeight="1">
      <x:c r="A1" s="40" t="str">
        <x:v>11 CODEX BUILD LOOP</x:v>
      </x:c>
      <x:c r="B1" s="40"/>
      <x:c r="C1" s="40"/>
      <x:c r="D1" s="40"/>
      <x:c r="E1" s="40"/>
      <x:c r="F1" s="40"/>
      <x:c r="G1" s="40"/>
      <x:c r="H1" s="40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 ht="24" customHeight="1">
      <x:c r="A2" s="64" t="str">
        <x:v>Layer/gap ledger. All-in-one edition includes engineering/runtime governance plus visual/UI parity gates.</x:v>
      </x:c>
      <x:c r="B2" s="13"/>
      <x:c r="C2" s="13"/>
      <x:c r="D2" s="13"/>
      <x:c r="E2" s="13"/>
      <x:c r="F2" s="13"/>
      <x:c r="G2" s="13"/>
      <x:c r="H2" s="13"/>
    </x:row>
    <x:row r="4" ht="28" customHeight="1">
      <x:c r="A4" s="22" t="str">
        <x:v>gap_id</x:v>
      </x:c>
      <x:c r="B4" s="22" t="str">
        <x:v>category</x:v>
      </x:c>
      <x:c r="C4" s="22" t="str">
        <x:v>repo_layer</x:v>
      </x:c>
      <x:c r="D4" s="22" t="str">
        <x:v>item_name</x:v>
      </x:c>
      <x:c r="E4" s="22" t="str">
        <x:v>highest_state_requirement</x:v>
      </x:c>
      <x:c r="F4" s="22" t="str">
        <x:v>current_status</x:v>
      </x:c>
      <x:c r="G4" s="22" t="str">
        <x:v>severity</x:v>
      </x:c>
      <x:c r="H4" s="22" t="str">
        <x:v>current_evidence</x:v>
      </x:c>
      <x:c r="I4" s="22" t="str">
        <x:v>missing_evidence</x:v>
      </x:c>
      <x:c r="J4" s="22" t="str">
        <x:v>source_truth_reference</x:v>
      </x:c>
      <x:c r="K4" s="22" t="str">
        <x:v>exact_file_path</x:v>
      </x:c>
      <x:c r="L4" s="22" t="str">
        <x:v>exact_line_or_section</x:v>
      </x:c>
      <x:c r="M4" s="22" t="str">
        <x:v>validation_command</x:v>
      </x:c>
      <x:c r="N4" s="22" t="str">
        <x:v>validation_result</x:v>
      </x:c>
      <x:c r="O4" s="22" t="str">
        <x:v>proof_artifact_path</x:v>
      </x:c>
      <x:c r="P4" s="22" t="str">
        <x:v>receipt_path</x:v>
      </x:c>
      <x:c r="Q4" s="22" t="str">
        <x:v>blocker_type</x:v>
      </x:c>
      <x:c r="R4" s="22" t="str">
        <x:v>blocker_reason</x:v>
      </x:c>
      <x:c r="S4" s="22" t="str">
        <x:v>workaround</x:v>
      </x:c>
      <x:c r="T4" s="22" t="str">
        <x:v>owner</x:v>
      </x:c>
      <x:c r="U4" s="22" t="str">
        <x:v>next_action</x:v>
      </x:c>
      <x:c r="V4" s="22" t="str">
        <x:v>completion_status</x:v>
      </x:c>
      <x:c r="W4" s="22" t="str">
        <x:v>auditor_notes</x:v>
      </x:c>
      <x:c r="X4" s="22" t="str">
        <x:v>second_gpt_audit_instruction</x:v>
      </x:c>
    </x:row>
    <x:row r="5" ht="42" customHeight="1">
      <x:c r="A5" s="31" t="str">
        <x:v>HC-008</x:v>
      </x:c>
      <x:c r="B5" s="31" t="str">
        <x:v>codex</x:v>
      </x:c>
      <x:c r="C5" s="31" t="str">
        <x:v>Codex Build Loop</x:v>
      </x:c>
      <x:c r="D5" s="31" t="str">
        <x:v>Codex install handoff embedded</x:v>
      </x:c>
      <x:c r="E5" s="31" t="str">
        <x:v>Codex must have exact branch, path, commands, outputs, and proof update rules</x:v>
      </x:c>
      <x:c r="F5" s="31" t="str">
        <x:v>verified_complete</x:v>
      </x:c>
      <x:c r="G5" s="31" t="str">
        <x:v>P0_release_blocker</x:v>
      </x:c>
      <x:c r="H5" s="31" t="str">
        <x:v>Sheet 24_CODEX_INSTALL_HANDOFF is included</x:v>
      </x:c>
      <x:c r="I5" s="31" t="str">
        <x:v>Need repo install proof after Codex run</x:v>
      </x:c>
      <x:c r="J5" s="31" t="str">
        <x:v>24_CODEX_INSTALL_HANDOFF</x:v>
      </x:c>
      <x:c r="K5" s="31" t="str">
        <x:v>workbook sheet</x:v>
      </x:c>
      <x:c r="L5" s="31" t="str">
        <x:v>all</x:v>
      </x:c>
      <x:c r="M5" s="31" t="str">
        <x:v>workbook validator</x:v>
      </x:c>
      <x:c r="N5" s="31" t="str">
        <x:v>included</x:v>
      </x:c>
      <x:c r="O5" s="31" t="str">
        <x:v>24_CODEX_INSTALL_HANDOFF</x:v>
      </x:c>
      <x:c r="P5" s="31" t="str">
        <x:v>03_Bridge_Receipts/build/RECEIPT_CODEX_HANDOFF.md</x:v>
      </x:c>
      <x:c r="Q5" s="31" t="str">
        <x:v>not_a_blocker</x:v>
      </x:c>
      <x:c r="R5" s="31" t="str"/>
      <x:c r="S5" s="31" t="str">
        <x:v>Use embedded prompt in Codex</x:v>
      </x:c>
      <x:c r="T5" s="31" t="str">
        <x:v>Operator</x:v>
      </x:c>
      <x:c r="U5" s="31" t="str">
        <x:v>Give package to Codex</x:v>
      </x:c>
      <x:c r="V5" s="31" t="str">
        <x:v>complete_with_proof</x:v>
      </x:c>
      <x:c r="W5" s="31" t="str">
        <x:v>Workbook contains handoff text</x:v>
      </x:c>
      <x:c r="X5" s="31" t="str">
        <x:v>Independent auditor: verify source_truth_reference, proof_artifact_path, validation_result, receipt_path, or exact_file_path. Downgrade any complete claim without proof.</x:v>
      </x:c>
    </x:row>
  </x:sheetData>
  <x:mergeCells>
    <x:mergeCell ref="A1:H1"/>
    <x:mergeCell ref="A2:H2"/>
  </x:mergeCells>
  <x:dataValidations count="4">
    <x:dataValidation type="list" sqref="F5:F200">
      <x:formula1>"verified_complete,partially_complete,missing,unverified,external_blocked,approval_required,not_applicable"</x:formula1>
    </x:dataValidation>
    <x:dataValidation type="list" sqref="G5:G200">
      <x:formula1>"P0_release_blocker,P1_high,P2_medium,P3_low,info"</x:formula1>
    </x:dataValidation>
    <x:dataValidation type="list" sqref="Q5:Q200">
      <x:formula1>"missing_file,missing_code,missing_doc,missing_test,missing_receipt,missing_env,missing_secret_manager,missing_live_access,missing_operator_approval,missing_auth_policy,missing_rls_policy,missing_deployment_proof,security_risk,build_failure,platform_limit,not_a_blocker"</x:formula1>
    </x:dataValidation>
    <x:dataValidation type="list" sqref="V5:V200">
      <x:formula1>"complete_with_proof,incomplete,externally_blocked_with_proof,approval_required,needs_human_review,not_applicable"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4" hidden="0" customWidth="1"/>
    <x:col min="4" max="4" width="34" hidden="0" customWidth="1"/>
    <x:col min="5" max="5" width="52" hidden="0" customWidth="1"/>
    <x:col min="6" max="6" width="20" hidden="0" customWidth="1"/>
    <x:col min="7" max="7" width="20" hidden="0" customWidth="1"/>
    <x:col min="8" max="8" width="45" hidden="0" customWidth="1"/>
    <x:col min="9" max="9" width="45" hidden="0" customWidth="1"/>
    <x:col min="10" max="10" width="34" hidden="0" customWidth="1"/>
    <x:col min="11" max="11" width="32" hidden="0" customWidth="1"/>
    <x:col min="12" max="12" width="24" hidden="0" customWidth="1"/>
    <x:col min="13" max="13" width="45" hidden="0" customWidth="1"/>
    <x:col min="14" max="14" width="26" hidden="0" customWidth="1"/>
    <x:col min="15" max="15" width="34" hidden="0" customWidth="1"/>
    <x:col min="16" max="16" width="34" hidden="0" customWidth="1"/>
    <x:col min="17" max="17" width="24" hidden="0" customWidth="1"/>
    <x:col min="18" max="18" width="42" hidden="0" customWidth="1"/>
    <x:col min="19" max="19" width="42" hidden="0" customWidth="1"/>
    <x:col min="20" max="20" width="20" hidden="0" customWidth="1"/>
    <x:col min="21" max="21" width="42" hidden="0" customWidth="1"/>
    <x:col min="22" max="22" width="28" hidden="0" customWidth="1"/>
    <x:col min="23" max="23" width="42" hidden="0" customWidth="1"/>
    <x:col min="24" max="24" width="50" hidden="0" customWidth="1"/>
  </x:cols>
  <x:sheetData>
    <x:row r="1" ht="28" customHeight="1">
      <x:c r="A1" s="40" t="str">
        <x:v>12 CONNECTOR GOVERNANCE LAYER</x:v>
      </x:c>
      <x:c r="B1" s="40"/>
      <x:c r="C1" s="40"/>
      <x:c r="D1" s="40"/>
      <x:c r="E1" s="40"/>
      <x:c r="F1" s="40"/>
      <x:c r="G1" s="40"/>
      <x:c r="H1" s="40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 ht="24" customHeight="1">
      <x:c r="A2" s="64" t="str">
        <x:v>Layer/gap ledger. All-in-one edition includes engineering/runtime governance plus visual/UI parity gates.</x:v>
      </x:c>
      <x:c r="B2" s="13"/>
      <x:c r="C2" s="13"/>
      <x:c r="D2" s="13"/>
      <x:c r="E2" s="13"/>
      <x:c r="F2" s="13"/>
      <x:c r="G2" s="13"/>
      <x:c r="H2" s="13"/>
    </x:row>
    <x:row r="4" ht="28" customHeight="1">
      <x:c r="A4" s="22" t="str">
        <x:v>gap_id</x:v>
      </x:c>
      <x:c r="B4" s="22" t="str">
        <x:v>category</x:v>
      </x:c>
      <x:c r="C4" s="22" t="str">
        <x:v>repo_layer</x:v>
      </x:c>
      <x:c r="D4" s="22" t="str">
        <x:v>item_name</x:v>
      </x:c>
      <x:c r="E4" s="22" t="str">
        <x:v>highest_state_requirement</x:v>
      </x:c>
      <x:c r="F4" s="22" t="str">
        <x:v>current_status</x:v>
      </x:c>
      <x:c r="G4" s="22" t="str">
        <x:v>severity</x:v>
      </x:c>
      <x:c r="H4" s="22" t="str">
        <x:v>current_evidence</x:v>
      </x:c>
      <x:c r="I4" s="22" t="str">
        <x:v>missing_evidence</x:v>
      </x:c>
      <x:c r="J4" s="22" t="str">
        <x:v>source_truth_reference</x:v>
      </x:c>
      <x:c r="K4" s="22" t="str">
        <x:v>exact_file_path</x:v>
      </x:c>
      <x:c r="L4" s="22" t="str">
        <x:v>exact_line_or_section</x:v>
      </x:c>
      <x:c r="M4" s="22" t="str">
        <x:v>validation_command</x:v>
      </x:c>
      <x:c r="N4" s="22" t="str">
        <x:v>validation_result</x:v>
      </x:c>
      <x:c r="O4" s="22" t="str">
        <x:v>proof_artifact_path</x:v>
      </x:c>
      <x:c r="P4" s="22" t="str">
        <x:v>receipt_path</x:v>
      </x:c>
      <x:c r="Q4" s="22" t="str">
        <x:v>blocker_type</x:v>
      </x:c>
      <x:c r="R4" s="22" t="str">
        <x:v>blocker_reason</x:v>
      </x:c>
      <x:c r="S4" s="22" t="str">
        <x:v>workaround</x:v>
      </x:c>
      <x:c r="T4" s="22" t="str">
        <x:v>owner</x:v>
      </x:c>
      <x:c r="U4" s="22" t="str">
        <x:v>next_action</x:v>
      </x:c>
      <x:c r="V4" s="22" t="str">
        <x:v>completion_status</x:v>
      </x:c>
      <x:c r="W4" s="22" t="str">
        <x:v>auditor_notes</x:v>
      </x:c>
      <x:c r="X4" s="22" t="str">
        <x:v>second_gpt_audit_instruction</x:v>
      </x:c>
    </x:row>
    <x:row r="5" ht="42" customHeight="1">
      <x:c r="A5" s="31" t="str">
        <x:v>HC-009</x:v>
      </x:c>
      <x:c r="B5" s="31" t="str">
        <x:v>base44</x:v>
      </x:c>
      <x:c r="C5" s="31" t="str">
        <x:v>Base44 Agent Handoff</x:v>
      </x:c>
      <x:c r="D5" s="31" t="str">
        <x:v>Base44 orchestration prompt embedded</x:v>
      </x:c>
      <x:c r="E5" s="31" t="str">
        <x:v>Base44 must coordinate GPT/Codex/connectors without production mutation</x:v>
      </x:c>
      <x:c r="F5" s="31" t="str">
        <x:v>verified_complete</x:v>
      </x:c>
      <x:c r="G5" s="31" t="str">
        <x:v>P1_high</x:v>
      </x:c>
      <x:c r="H5" s="31" t="str">
        <x:v>Sheet 25_BASE44_AGENT_HANDOFF is included</x:v>
      </x:c>
      <x:c r="I5" s="31" t="str">
        <x:v>Need Base44 execution receipt after use</x:v>
      </x:c>
      <x:c r="J5" s="31" t="str">
        <x:v>25_BASE44_AGENT_HANDOFF</x:v>
      </x:c>
      <x:c r="K5" s="31" t="str">
        <x:v>workbook sheet</x:v>
      </x:c>
      <x:c r="L5" s="31" t="str">
        <x:v>all</x:v>
      </x:c>
      <x:c r="M5" s="31" t="str">
        <x:v>workbook validator</x:v>
      </x:c>
      <x:c r="N5" s="31" t="str">
        <x:v>included</x:v>
      </x:c>
      <x:c r="O5" s="31" t="str">
        <x:v>25_BASE44_AGENT_HANDOFF</x:v>
      </x:c>
      <x:c r="P5" s="31" t="str">
        <x:v>03_Bridge_Receipts/build/RECEIPT_BASE44_HANDOFF.md</x:v>
      </x:c>
      <x:c r="Q5" s="31" t="str">
        <x:v>not_a_blocker</x:v>
      </x:c>
      <x:c r="R5" s="31" t="str"/>
      <x:c r="S5" s="31" t="str">
        <x:v>Use embedded prompt in Base44</x:v>
      </x:c>
      <x:c r="T5" s="31" t="str">
        <x:v>Operator</x:v>
      </x:c>
      <x:c r="U5" s="31" t="str">
        <x:v>Upload workbook/package to Base44 or paste sheet prompt</x:v>
      </x:c>
      <x:c r="V5" s="31" t="str">
        <x:v>complete_with_proof</x:v>
      </x:c>
      <x:c r="W5" s="31" t="str">
        <x:v>Workbook contains Base44 prompt</x:v>
      </x:c>
      <x:c r="X5" s="31" t="str">
        <x:v>Independent auditor: verify source_truth_reference, proof_artifact_path, validation_result, receipt_path, or exact_file_path. Downgrade any complete claim without proof.</x:v>
      </x:c>
    </x:row>
    <x:row r="6" ht="42" customHeight="1">
      <x:c r="A6" s="31" t="str">
        <x:v>HC-010</x:v>
      </x:c>
      <x:c r="B6" s="31" t="str">
        <x:v>connector</x:v>
      </x:c>
      <x:c r="C6" s="31" t="str">
        <x:v>Connector Governance Layer</x:v>
      </x:c>
      <x:c r="D6" s="31" t="str">
        <x:v>Connector registry + contracts + approval gates</x:v>
      </x:c>
      <x:c r="E6" s="31" t="str">
        <x:v>Every connector must define allowed/blocked actions, approvals, receipts, rollback</x:v>
      </x:c>
      <x:c r="F6" s="31" t="str">
        <x:v>unverified</x:v>
      </x:c>
      <x:c r="G6" s="31" t="str">
        <x:v>P0_release_blocker</x:v>
      </x:c>
      <x:c r="H6" s="31" t="str">
        <x:v>Connector list included in workbook</x:v>
      </x:c>
      <x:c r="I6" s="31" t="str">
        <x:v>Need actual repo/workbook connector sheets/contracts</x:v>
      </x:c>
      <x:c r="J6" s="31" t="str">
        <x:v>connector registry sheet or workbook rows</x:v>
      </x:c>
      <x:c r="K6" s="31" t="str">
        <x:v>12_CONNECTOR_GOVERNANCE_LAYER</x:v>
      </x:c>
      <x:c r="L6" s="31" t="str">
        <x:v>all</x:v>
      </x:c>
      <x:c r="M6" s="31" t="str">
        <x:v>workbook audit + connector sheet validator</x:v>
      </x:c>
      <x:c r="N6" s="31" t="str">
        <x:v>pending</x:v>
      </x:c>
      <x:c r="O6" s="31" t="str"/>
      <x:c r="P6" s="31" t="str">
        <x:v>03_Bridge_Receipts/validation/RECEIPT_CONNECTOR_GOVERNANCE.md</x:v>
      </x:c>
      <x:c r="Q6" s="31" t="str">
        <x:v>missing_doc</x:v>
      </x:c>
      <x:c r="R6" s="31" t="str">
        <x:v>Contracts/permissions need repo/workbook confirmation</x:v>
      </x:c>
      <x:c r="S6" s="31" t="str">
        <x:v>Codex maps connectors and creates receipts</x:v>
      </x:c>
      <x:c r="T6" s="31" t="str">
        <x:v>Codex</x:v>
      </x:c>
      <x:c r="U6" s="31" t="str">
        <x:v>Populate connector contracts and approval gates</x:v>
      </x:c>
      <x:c r="V6" s="31" t="str">
        <x:v>incomplete</x:v>
      </x:c>
      <x:c r="W6" s="31" t="str">
        <x:v>Payment and messaging connectors stay gated</x:v>
      </x:c>
      <x:c r="X6" s="31" t="str">
        <x:v>Independent auditor: verify source_truth_reference, proof_artifact_path, validation_result, receipt_path, or exact_file_path. Downgrade any complete claim without proof.</x:v>
      </x:c>
    </x:row>
  </x:sheetData>
  <x:mergeCells>
    <x:mergeCell ref="A1:H1"/>
    <x:mergeCell ref="A2:H2"/>
  </x:mergeCells>
  <x:dataValidations count="4">
    <x:dataValidation type="list" sqref="F5:F200">
      <x:formula1>"verified_complete,partially_complete,missing,unverified,external_blocked,approval_required,not_applicable"</x:formula1>
    </x:dataValidation>
    <x:dataValidation type="list" sqref="G5:G200">
      <x:formula1>"P0_release_blocker,P1_high,P2_medium,P3_low,info"</x:formula1>
    </x:dataValidation>
    <x:dataValidation type="list" sqref="Q5:Q200">
      <x:formula1>"missing_file,missing_code,missing_doc,missing_test,missing_receipt,missing_env,missing_secret_manager,missing_live_access,missing_operator_approval,missing_auth_policy,missing_rls_policy,missing_deployment_proof,security_risk,build_failure,platform_limit,not_a_blocker"</x:formula1>
    </x:dataValidation>
    <x:dataValidation type="list" sqref="V5:V200">
      <x:formula1>"complete_with_proof,incomplete,externally_blocked_with_proof,approval_required,needs_human_review,not_applicable"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4" hidden="0" customWidth="1"/>
    <x:col min="4" max="4" width="34" hidden="0" customWidth="1"/>
    <x:col min="5" max="5" width="52" hidden="0" customWidth="1"/>
    <x:col min="6" max="6" width="20" hidden="0" customWidth="1"/>
    <x:col min="7" max="7" width="20" hidden="0" customWidth="1"/>
    <x:col min="8" max="8" width="45" hidden="0" customWidth="1"/>
    <x:col min="9" max="9" width="45" hidden="0" customWidth="1"/>
    <x:col min="10" max="10" width="34" hidden="0" customWidth="1"/>
    <x:col min="11" max="11" width="32" hidden="0" customWidth="1"/>
    <x:col min="12" max="12" width="24" hidden="0" customWidth="1"/>
    <x:col min="13" max="13" width="45" hidden="0" customWidth="1"/>
    <x:col min="14" max="14" width="26" hidden="0" customWidth="1"/>
    <x:col min="15" max="15" width="34" hidden="0" customWidth="1"/>
    <x:col min="16" max="16" width="34" hidden="0" customWidth="1"/>
    <x:col min="17" max="17" width="24" hidden="0" customWidth="1"/>
    <x:col min="18" max="18" width="42" hidden="0" customWidth="1"/>
    <x:col min="19" max="19" width="42" hidden="0" customWidth="1"/>
    <x:col min="20" max="20" width="20" hidden="0" customWidth="1"/>
    <x:col min="21" max="21" width="42" hidden="0" customWidth="1"/>
    <x:col min="22" max="22" width="28" hidden="0" customWidth="1"/>
    <x:col min="23" max="23" width="42" hidden="0" customWidth="1"/>
    <x:col min="24" max="24" width="50" hidden="0" customWidth="1"/>
  </x:cols>
  <x:sheetData>
    <x:row r="1" ht="28" customHeight="1">
      <x:c r="A1" s="40" t="str">
        <x:v>13 RELEASE OPERATION LAYER</x:v>
      </x:c>
      <x:c r="B1" s="40"/>
      <x:c r="C1" s="40"/>
      <x:c r="D1" s="40"/>
      <x:c r="E1" s="40"/>
      <x:c r="F1" s="40"/>
      <x:c r="G1" s="40"/>
      <x:c r="H1" s="40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 ht="24" customHeight="1">
      <x:c r="A2" s="64" t="str">
        <x:v>Layer/gap ledger. All-in-one edition includes engineering/runtime governance plus visual/UI parity gates.</x:v>
      </x:c>
      <x:c r="B2" s="13"/>
      <x:c r="C2" s="13"/>
      <x:c r="D2" s="13"/>
      <x:c r="E2" s="13"/>
      <x:c r="F2" s="13"/>
      <x:c r="G2" s="13"/>
      <x:c r="H2" s="13"/>
    </x:row>
    <x:row r="4" ht="28" customHeight="1">
      <x:c r="A4" s="22" t="str">
        <x:v>gap_id</x:v>
      </x:c>
      <x:c r="B4" s="22" t="str">
        <x:v>category</x:v>
      </x:c>
      <x:c r="C4" s="22" t="str">
        <x:v>repo_layer</x:v>
      </x:c>
      <x:c r="D4" s="22" t="str">
        <x:v>item_name</x:v>
      </x:c>
      <x:c r="E4" s="22" t="str">
        <x:v>highest_state_requirement</x:v>
      </x:c>
      <x:c r="F4" s="22" t="str">
        <x:v>current_status</x:v>
      </x:c>
      <x:c r="G4" s="22" t="str">
        <x:v>severity</x:v>
      </x:c>
      <x:c r="H4" s="22" t="str">
        <x:v>current_evidence</x:v>
      </x:c>
      <x:c r="I4" s="22" t="str">
        <x:v>missing_evidence</x:v>
      </x:c>
      <x:c r="J4" s="22" t="str">
        <x:v>source_truth_reference</x:v>
      </x:c>
      <x:c r="K4" s="22" t="str">
        <x:v>exact_file_path</x:v>
      </x:c>
      <x:c r="L4" s="22" t="str">
        <x:v>exact_line_or_section</x:v>
      </x:c>
      <x:c r="M4" s="22" t="str">
        <x:v>validation_command</x:v>
      </x:c>
      <x:c r="N4" s="22" t="str">
        <x:v>validation_result</x:v>
      </x:c>
      <x:c r="O4" s="22" t="str">
        <x:v>proof_artifact_path</x:v>
      </x:c>
      <x:c r="P4" s="22" t="str">
        <x:v>receipt_path</x:v>
      </x:c>
      <x:c r="Q4" s="22" t="str">
        <x:v>blocker_type</x:v>
      </x:c>
      <x:c r="R4" s="22" t="str">
        <x:v>blocker_reason</x:v>
      </x:c>
      <x:c r="S4" s="22" t="str">
        <x:v>workaround</x:v>
      </x:c>
      <x:c r="T4" s="22" t="str">
        <x:v>owner</x:v>
      </x:c>
      <x:c r="U4" s="22" t="str">
        <x:v>next_action</x:v>
      </x:c>
      <x:c r="V4" s="22" t="str">
        <x:v>completion_status</x:v>
      </x:c>
      <x:c r="W4" s="22" t="str">
        <x:v>auditor_notes</x:v>
      </x:c>
      <x:c r="X4" s="22" t="str">
        <x:v>second_gpt_audit_instruction</x:v>
      </x:c>
    </x:row>
    <x:row r="5" ht="42" customHeight="1">
      <x:c r="A5" s="31" t="str">
        <x:v>HC-015</x:v>
      </x:c>
      <x:c r="B5" s="31" t="str">
        <x:v>receipts</x:v>
      </x:c>
      <x:c r="C5" s="31" t="str">
        <x:v>Receipts Proof Index</x:v>
      </x:c>
      <x:c r="D5" s="31" t="str">
        <x:v>Receipts index populated</x:v>
      </x:c>
      <x:c r="E5" s="31" t="str">
        <x:v>Every meaningful action needs receipt path and proof summary</x:v>
      </x:c>
      <x:c r="F5" s="31" t="str">
        <x:v>partially_complete</x:v>
      </x:c>
      <x:c r="G5" s="31" t="str">
        <x:v>P1_high</x:v>
      </x:c>
      <x:c r="H5" s="31" t="str">
        <x:v>Sheet 18 has starter receipt rows</x:v>
      </x:c>
      <x:c r="I5" s="31" t="str">
        <x:v>Need Codex-created repo receipts</x:v>
      </x:c>
      <x:c r="J5" s="31" t="str">
        <x:v>18_RECEIPTS_PROOF_INDEX</x:v>
      </x:c>
      <x:c r="K5" s="31" t="str">
        <x:v>03_Bridge_Receipts/*</x:v>
      </x:c>
      <x:c r="L5" s="31" t="str">
        <x:v>all</x:v>
      </x:c>
      <x:c r="M5" s="31" t="str">
        <x:v>receipt audit</x:v>
      </x:c>
      <x:c r="N5" s="31" t="str">
        <x:v>pending</x:v>
      </x:c>
      <x:c r="O5" s="31" t="str"/>
      <x:c r="P5" s="31" t="str">
        <x:v>03_Bridge_Receipts/validation/RECEIPT_RECEIPTS_INDEX.md</x:v>
      </x:c>
      <x:c r="Q5" s="31" t="str">
        <x:v>missing_receipt</x:v>
      </x:c>
      <x:c r="R5" s="31" t="str">
        <x:v>Repo receipts not yet created</x:v>
      </x:c>
      <x:c r="S5" s="31" t="str">
        <x:v>Codex creates install/validation/rollback receipts</x:v>
      </x:c>
      <x:c r="T5" s="31" t="str">
        <x:v>Codex</x:v>
      </x:c>
      <x:c r="U5" s="31" t="str">
        <x:v>Create receipts and update index</x:v>
      </x:c>
      <x:c r="V5" s="31" t="str">
        <x:v>incomplete</x:v>
      </x:c>
      <x:c r="W5" s="31" t="str">
        <x:v>Starter receipts are not final repo receipts</x:v>
      </x:c>
      <x:c r="X5" s="31" t="str">
        <x:v>Independent auditor: verify source_truth_reference, proof_artifact_path, validation_result, receipt_path, or exact_file_path. Downgrade any complete claim without proof.</x:v>
      </x:c>
    </x:row>
    <x:row r="6" ht="42" customHeight="1">
      <x:c r="A6" s="31" t="str">
        <x:v>HC-016</x:v>
      </x:c>
      <x:c r="B6" s="31" t="str">
        <x:v>rollback</x:v>
      </x:c>
      <x:c r="C6" s="31" t="str">
        <x:v>Rollback Recovery Plan</x:v>
      </x:c>
      <x:c r="D6" s="31" t="str">
        <x:v>Rollback path documented</x:v>
      </x:c>
      <x:c r="E6" s="31" t="str">
        <x:v>Repo must have file-level rollback and Vercel rollback procedures</x:v>
      </x:c>
      <x:c r="F6" s="31" t="str">
        <x:v>partially_complete</x:v>
      </x:c>
      <x:c r="G6" s="31" t="str">
        <x:v>P1_high</x:v>
      </x:c>
      <x:c r="H6" s="31" t="str">
        <x:v>Sheet 20 includes rollback plan; Vercel rollback commands included</x:v>
      </x:c>
      <x:c r="I6" s="31" t="str">
        <x:v>Need repo receipt and tested rollback note</x:v>
      </x:c>
      <x:c r="J6" s="31" t="str">
        <x:v>20_ROLLBACK_RECOVERY_PLAN</x:v>
      </x:c>
      <x:c r="K6" s="31" t="str">
        <x:v>ROLLBACK_PLAN.md + Vercel deployment</x:v>
      </x:c>
      <x:c r="L6" s="31" t="str">
        <x:v>all</x:v>
      </x:c>
      <x:c r="M6" s="31" t="str">
        <x:v>rollback status + docs review</x:v>
      </x:c>
      <x:c r="N6" s="31" t="str">
        <x:v>pending</x:v>
      </x:c>
      <x:c r="O6" s="31" t="str"/>
      <x:c r="P6" s="31" t="str">
        <x:v>03_Bridge_Receipts/rollback/ROLLBACK_HIGHEST_REPO_CEILING_INSTALL.md</x:v>
      </x:c>
      <x:c r="Q6" s="31" t="str">
        <x:v>missing_receipt</x:v>
      </x:c>
      <x:c r="R6" s="31" t="str">
        <x:v>Rollback not tested in target repo</x:v>
      </x:c>
      <x:c r="S6" s="31" t="str">
        <x:v>Create rollback note and verify Vercel rollback status when deployed</x:v>
      </x:c>
      <x:c r="T6" s="31" t="str">
        <x:v>Codex/Operator</x:v>
      </x:c>
      <x:c r="U6" s="31" t="str">
        <x:v>Write rollback doc and receipt</x:v>
      </x:c>
      <x:c r="V6" s="31" t="str">
        <x:v>incomplete</x:v>
      </x:c>
      <x:c r="W6" s="31" t="str">
        <x:v>Production rollback requires live deployment</x:v>
      </x:c>
      <x:c r="X6" s="31" t="str">
        <x:v>Independent auditor: verify source_truth_reference, proof_artifact_path, validation_result, receipt_path, or exact_file_path. Downgrade any complete claim without proof.</x:v>
      </x:c>
    </x:row>
    <x:row r="7" ht="42" customHeight="1">
      <x:c r="A7" s="31" t="str">
        <x:v>HC-017</x:v>
      </x:c>
      <x:c r="B7" s="31" t="str">
        <x:v>release</x:v>
      </x:c>
      <x:c r="C7" s="31" t="str">
        <x:v>Release Operation Layer</x:v>
      </x:c>
      <x:c r="D7" s="31" t="str">
        <x:v>Release gate states merge/preview/prod clearly</x:v>
      </x:c>
      <x:c r="E7" s="31" t="str">
        <x:v>Workbook must block production until receipts prove live gates</x:v>
      </x:c>
      <x:c r="F7" s="31" t="str">
        <x:v>partially_complete</x:v>
      </x:c>
      <x:c r="G7" s="31" t="str">
        <x:v>P0_release_blocker</x:v>
      </x:c>
      <x:c r="H7" s="31" t="str">
        <x:v>Sheet 21 release gate included</x:v>
      </x:c>
      <x:c r="I7" s="31" t="str">
        <x:v>Need repo release gate update and proof</x:v>
      </x:c>
      <x:c r="J7" s="31" t="str">
        <x:v>21_RELEASE_GATE</x:v>
      </x:c>
      <x:c r="K7" s="31" t="str">
        <x:v>RELEASE_GATE.md</x:v>
      </x:c>
      <x:c r="L7" s="31" t="str">
        <x:v>all</x:v>
      </x:c>
      <x:c r="M7" s="31" t="str">
        <x:v>release gate audit</x:v>
      </x:c>
      <x:c r="N7" s="31" t="str">
        <x:v>pending</x:v>
      </x:c>
      <x:c r="O7" s="31" t="str"/>
      <x:c r="P7" s="31" t="str">
        <x:v>03_Bridge_Receipts/validation/RECEIPT_RELEASE_GATE.md</x:v>
      </x:c>
      <x:c r="Q7" s="31" t="str">
        <x:v>missing_receipt</x:v>
      </x:c>
      <x:c r="R7" s="31" t="str">
        <x:v>Repo release gate not yet updated with workbook state</x:v>
      </x:c>
      <x:c r="S7" s="31" t="str">
        <x:v>Codex updates release gate and receipts</x:v>
      </x:c>
      <x:c r="T7" s="31" t="str">
        <x:v>Codex</x:v>
      </x:c>
      <x:c r="U7" s="31" t="str">
        <x:v>Update release gate and run audit</x:v>
      </x:c>
      <x:c r="V7" s="31" t="str">
        <x:v>incomplete</x:v>
      </x:c>
      <x:c r="W7" s="31" t="str">
        <x:v>Production locked until external receipts</x:v>
      </x:c>
      <x:c r="X7" s="31" t="str">
        <x:v>Independent auditor: verify source_truth_reference, proof_artifact_path, validation_result, receipt_path, or exact_file_path. Downgrade any complete claim without proof.</x:v>
      </x:c>
    </x:row>
  </x:sheetData>
  <x:mergeCells>
    <x:mergeCell ref="A1:H1"/>
    <x:mergeCell ref="A2:H2"/>
  </x:mergeCells>
  <x:dataValidations count="4">
    <x:dataValidation type="list" sqref="F5:F200">
      <x:formula1>"verified_complete,partially_complete,missing,unverified,external_blocked,approval_required,not_applicable"</x:formula1>
    </x:dataValidation>
    <x:dataValidation type="list" sqref="G5:G200">
      <x:formula1>"P0_release_blocker,P1_high,P2_medium,P3_low,info"</x:formula1>
    </x:dataValidation>
    <x:dataValidation type="list" sqref="Q5:Q200">
      <x:formula1>"missing_file,missing_code,missing_doc,missing_test,missing_receipt,missing_env,missing_secret_manager,missing_live_access,missing_operator_approval,missing_auth_policy,missing_rls_policy,missing_deployment_proof,security_risk,build_failure,platform_limit,not_a_blocker"</x:formula1>
    </x:dataValidation>
    <x:dataValidation type="list" sqref="V5:V200">
      <x:formula1>"complete_with_proof,incomplete,externally_blocked_with_proof,approval_required,needs_human_review,not_applicable"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4" hidden="0" customWidth="1"/>
    <x:col min="4" max="4" width="34" hidden="0" customWidth="1"/>
    <x:col min="5" max="5" width="52" hidden="0" customWidth="1"/>
    <x:col min="6" max="6" width="20" hidden="0" customWidth="1"/>
    <x:col min="7" max="7" width="20" hidden="0" customWidth="1"/>
    <x:col min="8" max="8" width="45" hidden="0" customWidth="1"/>
    <x:col min="9" max="9" width="45" hidden="0" customWidth="1"/>
    <x:col min="10" max="10" width="34" hidden="0" customWidth="1"/>
    <x:col min="11" max="11" width="32" hidden="0" customWidth="1"/>
    <x:col min="12" max="12" width="24" hidden="0" customWidth="1"/>
    <x:col min="13" max="13" width="45" hidden="0" customWidth="1"/>
    <x:col min="14" max="14" width="26" hidden="0" customWidth="1"/>
    <x:col min="15" max="15" width="34" hidden="0" customWidth="1"/>
    <x:col min="16" max="16" width="34" hidden="0" customWidth="1"/>
    <x:col min="17" max="17" width="24" hidden="0" customWidth="1"/>
    <x:col min="18" max="18" width="42" hidden="0" customWidth="1"/>
    <x:col min="19" max="19" width="42" hidden="0" customWidth="1"/>
    <x:col min="20" max="20" width="20" hidden="0" customWidth="1"/>
    <x:col min="21" max="21" width="42" hidden="0" customWidth="1"/>
    <x:col min="22" max="22" width="28" hidden="0" customWidth="1"/>
    <x:col min="23" max="23" width="42" hidden="0" customWidth="1"/>
    <x:col min="24" max="24" width="50" hidden="0" customWidth="1"/>
  </x:cols>
  <x:sheetData>
    <x:row r="1" ht="28" customHeight="1">
      <x:c r="A1" s="40" t="str">
        <x:v>14 BUSINESS FACTORY LAYER</x:v>
      </x:c>
      <x:c r="B1" s="40"/>
      <x:c r="C1" s="40"/>
      <x:c r="D1" s="40"/>
      <x:c r="E1" s="40"/>
      <x:c r="F1" s="40"/>
      <x:c r="G1" s="40"/>
      <x:c r="H1" s="40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 ht="24" customHeight="1">
      <x:c r="A2" s="64" t="str">
        <x:v>Layer/gap ledger. All-in-one edition includes engineering/runtime governance plus visual/UI parity gates.</x:v>
      </x:c>
      <x:c r="B2" s="13"/>
      <x:c r="C2" s="13"/>
      <x:c r="D2" s="13"/>
      <x:c r="E2" s="13"/>
      <x:c r="F2" s="13"/>
      <x:c r="G2" s="13"/>
      <x:c r="H2" s="13"/>
    </x:row>
    <x:row r="4" ht="28" customHeight="1">
      <x:c r="A4" s="22" t="str">
        <x:v>gap_id</x:v>
      </x:c>
      <x:c r="B4" s="22" t="str">
        <x:v>category</x:v>
      </x:c>
      <x:c r="C4" s="22" t="str">
        <x:v>repo_layer</x:v>
      </x:c>
      <x:c r="D4" s="22" t="str">
        <x:v>item_name</x:v>
      </x:c>
      <x:c r="E4" s="22" t="str">
        <x:v>highest_state_requirement</x:v>
      </x:c>
      <x:c r="F4" s="22" t="str">
        <x:v>current_status</x:v>
      </x:c>
      <x:c r="G4" s="22" t="str">
        <x:v>severity</x:v>
      </x:c>
      <x:c r="H4" s="22" t="str">
        <x:v>current_evidence</x:v>
      </x:c>
      <x:c r="I4" s="22" t="str">
        <x:v>missing_evidence</x:v>
      </x:c>
      <x:c r="J4" s="22" t="str">
        <x:v>source_truth_reference</x:v>
      </x:c>
      <x:c r="K4" s="22" t="str">
        <x:v>exact_file_path</x:v>
      </x:c>
      <x:c r="L4" s="22" t="str">
        <x:v>exact_line_or_section</x:v>
      </x:c>
      <x:c r="M4" s="22" t="str">
        <x:v>validation_command</x:v>
      </x:c>
      <x:c r="N4" s="22" t="str">
        <x:v>validation_result</x:v>
      </x:c>
      <x:c r="O4" s="22" t="str">
        <x:v>proof_artifact_path</x:v>
      </x:c>
      <x:c r="P4" s="22" t="str">
        <x:v>receipt_path</x:v>
      </x:c>
      <x:c r="Q4" s="22" t="str">
        <x:v>blocker_type</x:v>
      </x:c>
      <x:c r="R4" s="22" t="str">
        <x:v>blocker_reason</x:v>
      </x:c>
      <x:c r="S4" s="22" t="str">
        <x:v>workaround</x:v>
      </x:c>
      <x:c r="T4" s="22" t="str">
        <x:v>owner</x:v>
      </x:c>
      <x:c r="U4" s="22" t="str">
        <x:v>next_action</x:v>
      </x:c>
      <x:c r="V4" s="22" t="str">
        <x:v>completion_status</x:v>
      </x:c>
      <x:c r="W4" s="22" t="str">
        <x:v>auditor_notes</x:v>
      </x:c>
      <x:c r="X4" s="22" t="str">
        <x:v>second_gpt_audit_instruction</x:v>
      </x:c>
    </x:row>
    <x:row r="5" ht="42" customHeight="1">
      <x:c r="A5" s="31" t="str">
        <x:v>HC-018</x:v>
      </x:c>
      <x:c r="B5" s="31" t="str">
        <x:v>business_factory</x:v>
      </x:c>
      <x:c r="C5" s="31" t="str">
        <x:v>Business Factory Layer</x:v>
      </x:c>
      <x:c r="D5" s="31" t="str">
        <x:v>Factory product map included</x:v>
      </x:c>
      <x:c r="E5" s="31" t="str">
        <x:v>Workbook must map repo to repeatable websites/apps/workflows/client systems</x:v>
      </x:c>
      <x:c r="F5" s="31" t="str">
        <x:v>verified_complete</x:v>
      </x:c>
      <x:c r="G5" s="31" t="str">
        <x:v>P2_medium</x:v>
      </x:c>
      <x:c r="H5" s="31" t="str">
        <x:v>Sheet 14 includes business factory targets</x:v>
      </x:c>
      <x:c r="I5" s="31" t="str">
        <x:v>Need operator review for offer priority</x:v>
      </x:c>
      <x:c r="J5" s="31" t="str">
        <x:v>14_BUSINESS_FACTORY_LAYER</x:v>
      </x:c>
      <x:c r="K5" s="31" t="str">
        <x:v>workbook sheet</x:v>
      </x:c>
      <x:c r="L5" s="31" t="str">
        <x:v>all</x:v>
      </x:c>
      <x:c r="M5" s="31" t="str">
        <x:v>manual review</x:v>
      </x:c>
      <x:c r="N5" s="31" t="str">
        <x:v>included</x:v>
      </x:c>
      <x:c r="O5" s="31" t="str">
        <x:v>14_BUSINESS_FACTORY_LAYER</x:v>
      </x:c>
      <x:c r="P5" s="31" t="str">
        <x:v>03_Bridge_Receipts/approval/BUSINESS_FACTORY_REVIEW.md</x:v>
      </x:c>
      <x:c r="Q5" s="31" t="str">
        <x:v>missing_operator_approval</x:v>
      </x:c>
      <x:c r="R5" s="31" t="str">
        <x:v>Business packaging requires operator decision</x:v>
      </x:c>
      <x:c r="S5" s="31" t="str">
        <x:v>Operator picks first offer path</x:v>
      </x:c>
      <x:c r="T5" s="31" t="str">
        <x:v>Operator</x:v>
      </x:c>
      <x:c r="U5" s="31" t="str">
        <x:v>Review and prioritize productized offers</x:v>
      </x:c>
      <x:c r="V5" s="31" t="str">
        <x:v>approval_required</x:v>
      </x:c>
      <x:c r="W5" s="31" t="str">
        <x:v>Strategy exists, go-to-market requires approval</x:v>
      </x:c>
      <x:c r="X5" s="31" t="str">
        <x:v>Independent auditor: verify source_truth_reference, proof_artifact_path, validation_result, receipt_path, or exact_file_path. Downgrade any complete claim without proof.</x:v>
      </x:c>
    </x:row>
  </x:sheetData>
  <x:mergeCells>
    <x:mergeCell ref="A1:H1"/>
    <x:mergeCell ref="A2:H2"/>
  </x:mergeCells>
  <x:dataValidations count="4">
    <x:dataValidation type="list" sqref="F5:F200">
      <x:formula1>"verified_complete,partially_complete,missing,unverified,external_blocked,approval_required,not_applicable"</x:formula1>
    </x:dataValidation>
    <x:dataValidation type="list" sqref="G5:G200">
      <x:formula1>"P0_release_blocker,P1_high,P2_medium,P3_low,info"</x:formula1>
    </x:dataValidation>
    <x:dataValidation type="list" sqref="Q5:Q200">
      <x:formula1>"missing_file,missing_code,missing_doc,missing_test,missing_receipt,missing_env,missing_secret_manager,missing_live_access,missing_operator_approval,missing_auth_policy,missing_rls_policy,missing_deployment_proof,security_risk,build_failure,platform_limit,not_a_blocker"</x:formula1>
    </x:dataValidation>
    <x:dataValidation type="list" sqref="V5:V200">
      <x:formula1>"complete_with_proof,incomplete,externally_blocked_with_proof,approval_required,needs_human_review,not_applicable"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44" hidden="0" customWidth="1"/>
    <x:col min="4" max="4" width="28" hidden="0" customWidth="1"/>
    <x:col min="5" max="5" width="22" hidden="0" customWidth="1"/>
    <x:col min="6" max="6" width="28" hidden="0" customWidth="1"/>
    <x:col min="7" max="7" width="60" hidden="0" customWidth="1"/>
  </x:cols>
  <x:sheetData>
    <x:row r="1" ht="28" customHeight="1">
      <x:c r="A1" s="40" t="str">
        <x:v>Environment Variables</x:v>
      </x:c>
      <x:c r="B1" s="40"/>
      <x:c r="C1" s="40"/>
      <x:c r="D1" s="40"/>
      <x:c r="E1" s="40"/>
      <x:c r="F1" s="40"/>
      <x:c r="G1" s="40"/>
      <x:c r="H1" s="40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 ht="24" customHeight="1">
      <x:c r="A2" s="13" t="str">
        <x:v>Names only. No secret values. Live env presence must be verified through approved Vercel/Supabase setup.</x:v>
      </x:c>
      <x:c r="B2" s="13"/>
      <x:c r="C2" s="13"/>
      <x:c r="D2" s="13"/>
      <x:c r="E2" s="13"/>
      <x:c r="F2" s="13"/>
      <x:c r="G2" s="13"/>
      <x:c r="H2" s="13"/>
    </x:row>
    <x:row r="4" ht="28" customHeight="1">
      <x:c r="A4" s="22" t="str">
        <x:v>env_id</x:v>
      </x:c>
      <x:c r="B4" s="22" t="str">
        <x:v>env_var_name</x:v>
      </x:c>
      <x:c r="C4" s="22" t="str">
        <x:v>purpose</x:v>
      </x:c>
      <x:c r="D4" s="22" t="str">
        <x:v>scope</x:v>
      </x:c>
      <x:c r="E4" s="22" t="str">
        <x:v>current_status</x:v>
      </x:c>
      <x:c r="F4" s="22" t="str">
        <x:v>blocker_type</x:v>
      </x:c>
      <x:c r="G4" s="22" t="str">
        <x:v>next_action</x:v>
      </x:c>
    </x:row>
    <x:row r="5" ht="42" customHeight="1">
      <x:c r="A5" s="31" t="str">
        <x:v>ENV-001</x:v>
      </x:c>
      <x:c r="B5" s="31" t="str">
        <x:v>NEXT_PUBLIC_SUPABASE_URL</x:v>
      </x:c>
      <x:c r="C5" s="31" t="str">
        <x:v>Supabase public client</x:v>
      </x:c>
      <x:c r="D5" s="31" t="str">
        <x:v>preview,production</x:v>
      </x:c>
      <x:c r="E5" s="31" t="str">
        <x:v>external_blocked</x:v>
      </x:c>
      <x:c r="F5" s="31" t="str">
        <x:v>missing_env</x:v>
      </x:c>
      <x:c r="G5" s="31" t="str">
        <x:v>Add in Vercel/Supabase env panel; verify boolean readiness endpoint</x:v>
      </x:c>
    </x:row>
    <x:row r="6" ht="42" customHeight="1">
      <x:c r="A6" s="31" t="str">
        <x:v>ENV-002</x:v>
      </x:c>
      <x:c r="B6" s="31" t="str">
        <x:v>NEXT_PUBLIC_SUPABASE_ANON_KEY</x:v>
      </x:c>
      <x:c r="C6" s="31" t="str">
        <x:v>Supabase anon client</x:v>
      </x:c>
      <x:c r="D6" s="31" t="str">
        <x:v>preview,production</x:v>
      </x:c>
      <x:c r="E6" s="31" t="str">
        <x:v>external_blocked</x:v>
      </x:c>
      <x:c r="F6" s="31" t="str">
        <x:v>missing_env</x:v>
      </x:c>
      <x:c r="G6" s="31" t="str">
        <x:v>Add in Vercel env; never print value</x:v>
      </x:c>
    </x:row>
    <x:row r="7" ht="42" customHeight="1">
      <x:c r="A7" s="31" t="str">
        <x:v>ENV-003</x:v>
      </x:c>
      <x:c r="B7" s="31" t="str">
        <x:v>SUPABASE_SERVICE_ROLE_KEY</x:v>
      </x:c>
      <x:c r="C7" s="31" t="str">
        <x:v>Server-only admin operations</x:v>
      </x:c>
      <x:c r="D7" s="31" t="str">
        <x:v>server only</x:v>
      </x:c>
      <x:c r="E7" s="31" t="str">
        <x:v>external_blocked</x:v>
      </x:c>
      <x:c r="F7" s="31" t="str">
        <x:v>missing_secret_manager</x:v>
      </x:c>
      <x:c r="G7" s="31" t="str">
        <x:v>Add server-only in Vercel; never expose client-side</x:v>
      </x:c>
    </x:row>
    <x:row r="8" ht="42" customHeight="1">
      <x:c r="A8" s="31" t="str">
        <x:v>ENV-004</x:v>
      </x:c>
      <x:c r="B8" s="31" t="str">
        <x:v>CRON_SECRET</x:v>
      </x:c>
      <x:c r="C8" s="31" t="str">
        <x:v>Protect validator cron route</x:v>
      </x:c>
      <x:c r="D8" s="31" t="str">
        <x:v>preview,production</x:v>
      </x:c>
      <x:c r="E8" s="31" t="str">
        <x:v>external_blocked</x:v>
      </x:c>
      <x:c r="F8" s="31" t="str">
        <x:v>missing_env</x:v>
      </x:c>
      <x:c r="G8" s="31" t="str">
        <x:v>Configure secret and test header execution</x:v>
      </x:c>
    </x:row>
    <x:row r="9" ht="42" customHeight="1">
      <x:c r="A9" s="31" t="str">
        <x:v>ENV-005</x:v>
      </x:c>
      <x:c r="B9" s="31" t="str">
        <x:v>VERCEL_TOKEN</x:v>
      </x:c>
      <x:c r="C9" s="31" t="str">
        <x:v>CI/Vercel CLI automation if needed</x:v>
      </x:c>
      <x:c r="D9" s="31" t="str">
        <x:v>GitHub Actions secret</x:v>
      </x:c>
      <x:c r="E9" s="31" t="str">
        <x:v>approval_required</x:v>
      </x:c>
      <x:c r="F9" s="31" t="str">
        <x:v>missing_secret_manager</x:v>
      </x:c>
      <x:c r="G9" s="31" t="str">
        <x:v>Add via GitHub secret only if workflow approved</x:v>
      </x:c>
    </x:row>
    <x:row r="10" ht="42" customHeight="1">
      <x:c r="A10" s="31" t="str">
        <x:v>ENV-006</x:v>
      </x:c>
      <x:c r="B10" s="31" t="str">
        <x:v>GITHUB_TOKEN</x:v>
      </x:c>
      <x:c r="C10" s="31" t="str">
        <x:v>GitHub Actions scoped token</x:v>
      </x:c>
      <x:c r="D10" s="31" t="str">
        <x:v>GitHub Actions</x:v>
      </x:c>
      <x:c r="E10" s="31" t="str">
        <x:v>approval_required</x:v>
      </x:c>
      <x:c r="F10" s="31" t="str">
        <x:v>missing_secret_manager</x:v>
      </x:c>
      <x:c r="G10" s="31" t="str">
        <x:v>Use GitHub managed token or approved fine-grained token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4" hidden="0" customWidth="1"/>
    <x:col min="4" max="4" width="34" hidden="0" customWidth="1"/>
    <x:col min="5" max="5" width="52" hidden="0" customWidth="1"/>
    <x:col min="6" max="6" width="20" hidden="0" customWidth="1"/>
    <x:col min="7" max="7" width="20" hidden="0" customWidth="1"/>
    <x:col min="8" max="8" width="45" hidden="0" customWidth="1"/>
    <x:col min="9" max="9" width="45" hidden="0" customWidth="1"/>
    <x:col min="10" max="10" width="34" hidden="0" customWidth="1"/>
    <x:col min="11" max="11" width="32" hidden="0" customWidth="1"/>
    <x:col min="12" max="12" width="24" hidden="0" customWidth="1"/>
    <x:col min="13" max="13" width="45" hidden="0" customWidth="1"/>
    <x:col min="14" max="14" width="26" hidden="0" customWidth="1"/>
    <x:col min="15" max="15" width="34" hidden="0" customWidth="1"/>
    <x:col min="16" max="16" width="34" hidden="0" customWidth="1"/>
    <x:col min="17" max="17" width="24" hidden="0" customWidth="1"/>
    <x:col min="18" max="18" width="42" hidden="0" customWidth="1"/>
    <x:col min="19" max="19" width="42" hidden="0" customWidth="1"/>
    <x:col min="20" max="20" width="20" hidden="0" customWidth="1"/>
    <x:col min="21" max="21" width="42" hidden="0" customWidth="1"/>
    <x:col min="22" max="22" width="28" hidden="0" customWidth="1"/>
    <x:col min="23" max="23" width="42" hidden="0" customWidth="1"/>
    <x:col min="24" max="24" width="50" hidden="0" customWidth="1"/>
  </x:cols>
  <x:sheetData>
    <x:row r="1" ht="28" customHeight="1">
      <x:c r="A1" s="40" t="str">
        <x:v>16 SECURITY SECRET READINESS</x:v>
      </x:c>
      <x:c r="B1" s="40"/>
      <x:c r="C1" s="40"/>
      <x:c r="D1" s="40"/>
      <x:c r="E1" s="40"/>
      <x:c r="F1" s="40"/>
      <x:c r="G1" s="40"/>
      <x:c r="H1" s="40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 ht="24" customHeight="1">
      <x:c r="A2" s="64" t="str">
        <x:v>Layer/gap ledger. All-in-one edition includes engineering/runtime governance plus visual/UI parity gates.</x:v>
      </x:c>
      <x:c r="B2" s="13"/>
      <x:c r="C2" s="13"/>
      <x:c r="D2" s="13"/>
      <x:c r="E2" s="13"/>
      <x:c r="F2" s="13"/>
      <x:c r="G2" s="13"/>
      <x:c r="H2" s="13"/>
    </x:row>
    <x:row r="4" ht="28" customHeight="1">
      <x:c r="A4" s="22" t="str">
        <x:v>gap_id</x:v>
      </x:c>
      <x:c r="B4" s="22" t="str">
        <x:v>category</x:v>
      </x:c>
      <x:c r="C4" s="22" t="str">
        <x:v>repo_layer</x:v>
      </x:c>
      <x:c r="D4" s="22" t="str">
        <x:v>item_name</x:v>
      </x:c>
      <x:c r="E4" s="22" t="str">
        <x:v>highest_state_requirement</x:v>
      </x:c>
      <x:c r="F4" s="22" t="str">
        <x:v>current_status</x:v>
      </x:c>
      <x:c r="G4" s="22" t="str">
        <x:v>severity</x:v>
      </x:c>
      <x:c r="H4" s="22" t="str">
        <x:v>current_evidence</x:v>
      </x:c>
      <x:c r="I4" s="22" t="str">
        <x:v>missing_evidence</x:v>
      </x:c>
      <x:c r="J4" s="22" t="str">
        <x:v>source_truth_reference</x:v>
      </x:c>
      <x:c r="K4" s="22" t="str">
        <x:v>exact_file_path</x:v>
      </x:c>
      <x:c r="L4" s="22" t="str">
        <x:v>exact_line_or_section</x:v>
      </x:c>
      <x:c r="M4" s="22" t="str">
        <x:v>validation_command</x:v>
      </x:c>
      <x:c r="N4" s="22" t="str">
        <x:v>validation_result</x:v>
      </x:c>
      <x:c r="O4" s="22" t="str">
        <x:v>proof_artifact_path</x:v>
      </x:c>
      <x:c r="P4" s="22" t="str">
        <x:v>receipt_path</x:v>
      </x:c>
      <x:c r="Q4" s="22" t="str">
        <x:v>blocker_type</x:v>
      </x:c>
      <x:c r="R4" s="22" t="str">
        <x:v>blocker_reason</x:v>
      </x:c>
      <x:c r="S4" s="22" t="str">
        <x:v>workaround</x:v>
      </x:c>
      <x:c r="T4" s="22" t="str">
        <x:v>owner</x:v>
      </x:c>
      <x:c r="U4" s="22" t="str">
        <x:v>next_action</x:v>
      </x:c>
      <x:c r="V4" s="22" t="str">
        <x:v>completion_status</x:v>
      </x:c>
      <x:c r="W4" s="22" t="str">
        <x:v>auditor_notes</x:v>
      </x:c>
      <x:c r="X4" s="22" t="str">
        <x:v>second_gpt_audit_instruction</x:v>
      </x:c>
    </x:row>
    <x:row r="5" ht="42" customHeight="1">
      <x:c r="A5" s="31" t="str">
        <x:v>HC-011</x:v>
      </x:c>
      <x:c r="B5" s="31" t="str">
        <x:v>security</x:v>
      </x:c>
      <x:c r="C5" s="31" t="str">
        <x:v>Security and Secret Readiness</x:v>
      </x:c>
      <x:c r="D5" s="31" t="str">
        <x:v>Secret scanning and workbook safety scanner</x:v>
      </x:c>
      <x:c r="E5" s="31" t="str">
        <x:v>Repo/workbook must avoid credentials and scan for common token patterns</x:v>
      </x:c>
      <x:c r="F5" s="31" t="str">
        <x:v>unverified</x:v>
      </x:c>
      <x:c r="G5" s="31" t="str">
        <x:v>P0_release_blocker</x:v>
      </x:c>
      <x:c r="H5" s="31" t="str">
        <x:v>Previous scanner was shallow</x:v>
      </x:c>
      <x:c r="I5" s="31" t="str">
        <x:v>Need expanded scanner and run receipt</x:v>
      </x:c>
      <x:c r="J5" s="31" t="str">
        <x:v>scripts/workbook_validation/scan_workbook_for_public_safety.py</x:v>
      </x:c>
      <x:c r="K5" s="31" t="str">
        <x:v>scripts/workbook_validation/*</x:v>
      </x:c>
      <x:c r="L5" s="31" t="str">
        <x:v>all</x:v>
      </x:c>
      <x:c r="M5" s="31" t="str">
        <x:v>secret scan + workbook scan</x:v>
      </x:c>
      <x:c r="N5" s="31" t="str">
        <x:v>pending</x:v>
      </x:c>
      <x:c r="O5" s="31" t="str"/>
      <x:c r="P5" s="31" t="str">
        <x:v>03_Bridge_Receipts/validation/RECEIPT_SECRET_SCAN.md</x:v>
      </x:c>
      <x:c r="Q5" s="31" t="str">
        <x:v>missing_code</x:v>
      </x:c>
      <x:c r="R5" s="31" t="str">
        <x:v>Scanner likely needs expansion</x:v>
      </x:c>
      <x:c r="S5" s="31" t="str">
        <x:v>Codex expands scanner and runs it</x:v>
      </x:c>
      <x:c r="T5" s="31" t="str">
        <x:v>Codex</x:v>
      </x:c>
      <x:c r="U5" s="31" t="str">
        <x:v>Add broad token patterns and receipts</x:v>
      </x:c>
      <x:c r="V5" s="31" t="str">
        <x:v>incomplete</x:v>
      </x:c>
      <x:c r="W5" s="31" t="str">
        <x:v>Never include secret values</x:v>
      </x:c>
      <x:c r="X5" s="31" t="str">
        <x:v>Independent auditor: verify source_truth_reference, proof_artifact_path, validation_result, receipt_path, or exact_file_path. Downgrade any complete claim without proof.</x:v>
      </x:c>
    </x:row>
    <x:row r="6" ht="42" customHeight="1">
      <x:c r="A6" s="31" t="str">
        <x:v>HC-012</x:v>
      </x:c>
      <x:c r="B6" s="31" t="str">
        <x:v>auth_rls</x:v>
      </x:c>
      <x:c r="C6" s="31" t="str">
        <x:v>Security and Secret Readiness</x:v>
      </x:c>
      <x:c r="D6" s="31" t="str">
        <x:v>Auth/RLS approval gate</x:v>
      </x:c>
      <x:c r="E6" s="31" t="str">
        <x:v>Auth and RLS must be finalized before production readiness</x:v>
      </x:c>
      <x:c r="F6" s="31" t="str">
        <x:v>external_blocked</x:v>
      </x:c>
      <x:c r="G6" s="31" t="str">
        <x:v>P0_release_blocker</x:v>
      </x:c>
      <x:c r="H6" s="31" t="str">
        <x:v>Workbook marks auth/RLS as production gate</x:v>
      </x:c>
      <x:c r="I6" s="31" t="str">
        <x:v>Requires operator and live project context</x:v>
      </x:c>
      <x:c r="J6" s="31" t="str">
        <x:v>Supabase project policies</x:v>
      </x:c>
      <x:c r="K6" s="31" t="str">
        <x:v>Supabase dashboard/migrations</x:v>
      </x:c>
      <x:c r="L6" s="31" t="str">
        <x:v>n/a</x:v>
      </x:c>
      <x:c r="M6" s="31" t="str">
        <x:v>live Supabase policy verification</x:v>
      </x:c>
      <x:c r="N6" s="31" t="str">
        <x:v>blocked</x:v>
      </x:c>
      <x:c r="O6" s="31" t="str"/>
      <x:c r="P6" s="31" t="str">
        <x:v>03_Bridge_Receipts/approval/AUTH_RLS_APPROVAL.md</x:v>
      </x:c>
      <x:c r="Q6" s="31" t="str">
        <x:v>missing_operator_approval</x:v>
      </x:c>
      <x:c r="R6" s="31" t="str">
        <x:v>Requires operator-approved deployment policy</x:v>
      </x:c>
      <x:c r="S6" s="31" t="str">
        <x:v>Create approval checklist and receipt template</x:v>
      </x:c>
      <x:c r="T6" s="31" t="str">
        <x:v>Operator</x:v>
      </x:c>
      <x:c r="U6" s="31" t="str">
        <x:v>Approve auth/RLS plan in live project</x:v>
      </x:c>
      <x:c r="V6" s="31" t="str">
        <x:v>externally_blocked_with_proof</x:v>
      </x:c>
      <x:c r="W6" s="31" t="str">
        <x:v>External live gate</x:v>
      </x:c>
      <x:c r="X6" s="31" t="str">
        <x:v>Independent auditor: verify source_truth_reference, proof_artifact_path, validation_result, receipt_path, or exact_file_path. Downgrade any complete claim without proof.</x:v>
      </x:c>
    </x:row>
    <x:row r="7" ht="42" customHeight="1">
      <x:c r="A7" s="31" t="str">
        <x:v>HC-013</x:v>
      </x:c>
      <x:c r="B7" s="31" t="str">
        <x:v>env</x:v>
      </x:c>
      <x:c r="C7" s="31" t="str">
        <x:v>Environment Variables</x:v>
      </x:c>
      <x:c r="D7" s="31" t="str">
        <x:v>Env var checklist exists and no values exposed</x:v>
      </x:c>
      <x:c r="E7" s="31" t="str">
        <x:v>Workbook must list names only and never store secrets</x:v>
      </x:c>
      <x:c r="F7" s="31" t="str">
        <x:v>unverified</x:v>
      </x:c>
      <x:c r="G7" s="31" t="str">
        <x:v>P0_release_blocker</x:v>
      </x:c>
      <x:c r="H7" s="31" t="str">
        <x:v>Env sheet included with names only</x:v>
      </x:c>
      <x:c r="I7" s="31" t="str">
        <x:v>Need target repo env docs and Vercel/Supabase env presence proof</x:v>
      </x:c>
      <x:c r="J7" s="31" t="str">
        <x:v>15_ENVIRONMENT_VARIABLES</x:v>
      </x:c>
      <x:c r="K7" s="31" t="str">
        <x:v>workbook sheet + Vercel settings</x:v>
      </x:c>
      <x:c r="L7" s="31" t="str">
        <x:v>all</x:v>
      </x:c>
      <x:c r="M7" s="31" t="str">
        <x:v>env presence route/checklist</x:v>
      </x:c>
      <x:c r="N7" s="31" t="str">
        <x:v>pending</x:v>
      </x:c>
      <x:c r="O7" s="31" t="str"/>
      <x:c r="P7" s="31" t="str">
        <x:v>03_Bridge_Receipts/validation/RECEIPT_ENV_GATE.md</x:v>
      </x:c>
      <x:c r="Q7" s="31" t="str">
        <x:v>missing_env</x:v>
      </x:c>
      <x:c r="R7" s="31" t="str">
        <x:v>Live env values not available in workbook</x:v>
      </x:c>
      <x:c r="S7" s="31" t="str">
        <x:v>Use Vercel/Supabase env panels and boolean readiness endpoints</x:v>
      </x:c>
      <x:c r="T7" s="31" t="str">
        <x:v>Operator/Codex</x:v>
      </x:c>
      <x:c r="U7" s="31" t="str">
        <x:v>Add env example and readiness route</x:v>
      </x:c>
      <x:c r="V7" s="31" t="str">
        <x:v>externally_blocked_with_proof</x:v>
      </x:c>
      <x:c r="W7" s="31" t="str">
        <x:v>Requires live project context</x:v>
      </x:c>
      <x:c r="X7" s="31" t="str">
        <x:v>Independent auditor: verify source_truth_reference, proof_artifact_path, validation_result, receipt_path, or exact_file_path. Downgrade any complete claim without proof.</x:v>
      </x:c>
    </x:row>
  </x:sheetData>
  <x:mergeCells>
    <x:mergeCell ref="A1:H1"/>
    <x:mergeCell ref="A2:H2"/>
  </x:mergeCells>
  <x:dataValidations count="4">
    <x:dataValidation type="list" sqref="F5:F200">
      <x:formula1>"verified_complete,partially_complete,missing,unverified,external_blocked,approval_required,not_applicable"</x:formula1>
    </x:dataValidation>
    <x:dataValidation type="list" sqref="G5:G200">
      <x:formula1>"P0_release_blocker,P1_high,P2_medium,P3_low,info"</x:formula1>
    </x:dataValidation>
    <x:dataValidation type="list" sqref="Q5:Q200">
      <x:formula1>"missing_file,missing_code,missing_doc,missing_test,missing_receipt,missing_env,missing_secret_manager,missing_live_access,missing_operator_approval,missing_auth_policy,missing_rls_policy,missing_deployment_proof,security_risk,build_failure,platform_limit,not_a_blocker"</x:formula1>
    </x:dataValidation>
    <x:dataValidation type="list" sqref="V5:V200">
      <x:formula1>"complete_with_proof,incomplete,externally_blocked_with_proof,approval_required,needs_human_review,not_applicable"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4" hidden="0" customWidth="1"/>
    <x:col min="4" max="4" width="34" hidden="0" customWidth="1"/>
    <x:col min="5" max="5" width="52" hidden="0" customWidth="1"/>
    <x:col min="6" max="6" width="20" hidden="0" customWidth="1"/>
    <x:col min="7" max="7" width="20" hidden="0" customWidth="1"/>
    <x:col min="8" max="8" width="45" hidden="0" customWidth="1"/>
    <x:col min="9" max="9" width="45" hidden="0" customWidth="1"/>
    <x:col min="10" max="10" width="34" hidden="0" customWidth="1"/>
    <x:col min="11" max="11" width="32" hidden="0" customWidth="1"/>
    <x:col min="12" max="12" width="24" hidden="0" customWidth="1"/>
    <x:col min="13" max="13" width="45" hidden="0" customWidth="1"/>
    <x:col min="14" max="14" width="26" hidden="0" customWidth="1"/>
    <x:col min="15" max="15" width="34" hidden="0" customWidth="1"/>
    <x:col min="16" max="16" width="34" hidden="0" customWidth="1"/>
    <x:col min="17" max="17" width="24" hidden="0" customWidth="1"/>
    <x:col min="18" max="18" width="42" hidden="0" customWidth="1"/>
    <x:col min="19" max="19" width="42" hidden="0" customWidth="1"/>
    <x:col min="20" max="20" width="20" hidden="0" customWidth="1"/>
    <x:col min="21" max="21" width="42" hidden="0" customWidth="1"/>
    <x:col min="22" max="22" width="28" hidden="0" customWidth="1"/>
    <x:col min="23" max="23" width="42" hidden="0" customWidth="1"/>
    <x:col min="24" max="24" width="50" hidden="0" customWidth="1"/>
  </x:cols>
  <x:sheetData>
    <x:row r="1" ht="28" customHeight="1">
      <x:c r="A1" s="40" t="str">
        <x:v>17 VALIDATION TESTING LAYER</x:v>
      </x:c>
      <x:c r="B1" s="40"/>
      <x:c r="C1" s="40"/>
      <x:c r="D1" s="40"/>
      <x:c r="E1" s="40"/>
      <x:c r="F1" s="40"/>
      <x:c r="G1" s="40"/>
      <x:c r="H1" s="40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 ht="24" customHeight="1">
      <x:c r="A2" s="64" t="str">
        <x:v>Layer/gap ledger. All-in-one edition includes engineering/runtime governance plus visual/UI parity gates.</x:v>
      </x:c>
      <x:c r="B2" s="13"/>
      <x:c r="C2" s="13"/>
      <x:c r="D2" s="13"/>
      <x:c r="E2" s="13"/>
      <x:c r="F2" s="13"/>
      <x:c r="G2" s="13"/>
      <x:c r="H2" s="13"/>
    </x:row>
    <x:row r="4" ht="28" customHeight="1">
      <x:c r="A4" s="22" t="str">
        <x:v>gap_id</x:v>
      </x:c>
      <x:c r="B4" s="22" t="str">
        <x:v>category</x:v>
      </x:c>
      <x:c r="C4" s="22" t="str">
        <x:v>repo_layer</x:v>
      </x:c>
      <x:c r="D4" s="22" t="str">
        <x:v>item_name</x:v>
      </x:c>
      <x:c r="E4" s="22" t="str">
        <x:v>highest_state_requirement</x:v>
      </x:c>
      <x:c r="F4" s="22" t="str">
        <x:v>current_status</x:v>
      </x:c>
      <x:c r="G4" s="22" t="str">
        <x:v>severity</x:v>
      </x:c>
      <x:c r="H4" s="22" t="str">
        <x:v>current_evidence</x:v>
      </x:c>
      <x:c r="I4" s="22" t="str">
        <x:v>missing_evidence</x:v>
      </x:c>
      <x:c r="J4" s="22" t="str">
        <x:v>source_truth_reference</x:v>
      </x:c>
      <x:c r="K4" s="22" t="str">
        <x:v>exact_file_path</x:v>
      </x:c>
      <x:c r="L4" s="22" t="str">
        <x:v>exact_line_or_section</x:v>
      </x:c>
      <x:c r="M4" s="22" t="str">
        <x:v>validation_command</x:v>
      </x:c>
      <x:c r="N4" s="22" t="str">
        <x:v>validation_result</x:v>
      </x:c>
      <x:c r="O4" s="22" t="str">
        <x:v>proof_artifact_path</x:v>
      </x:c>
      <x:c r="P4" s="22" t="str">
        <x:v>receipt_path</x:v>
      </x:c>
      <x:c r="Q4" s="22" t="str">
        <x:v>blocker_type</x:v>
      </x:c>
      <x:c r="R4" s="22" t="str">
        <x:v>blocker_reason</x:v>
      </x:c>
      <x:c r="S4" s="22" t="str">
        <x:v>workaround</x:v>
      </x:c>
      <x:c r="T4" s="22" t="str">
        <x:v>owner</x:v>
      </x:c>
      <x:c r="U4" s="22" t="str">
        <x:v>next_action</x:v>
      </x:c>
      <x:c r="V4" s="22" t="str">
        <x:v>completion_status</x:v>
      </x:c>
      <x:c r="W4" s="22" t="str">
        <x:v>auditor_notes</x:v>
      </x:c>
      <x:c r="X4" s="22" t="str">
        <x:v>second_gpt_audit_instruction</x:v>
      </x:c>
    </x:row>
    <x:row r="5" ht="42" customHeight="1">
      <x:c r="A5" s="31" t="str">
        <x:v>HC-014</x:v>
      </x:c>
      <x:c r="B5" s="31" t="str">
        <x:v>validation</x:v>
      </x:c>
      <x:c r="C5" s="31" t="str">
        <x:v>Validation Testing Layer</x:v>
      </x:c>
      <x:c r="D5" s="31" t="str">
        <x:v>Local validation commands wired</x:v>
      </x:c>
      <x:c r="E5" s="31" t="str">
        <x:v>Build/test/typecheck/workbook validators must be listed and runnable</x:v>
      </x:c>
      <x:c r="F5" s="31" t="str">
        <x:v>unverified</x:v>
      </x:c>
      <x:c r="G5" s="31" t="str">
        <x:v>P0_release_blocker</x:v>
      </x:c>
      <x:c r="H5" s="31" t="str">
        <x:v>Commands included in handoff</x:v>
      </x:c>
      <x:c r="I5" s="31" t="str">
        <x:v>Need command output receipts</x:v>
      </x:c>
      <x:c r="J5" s="31" t="str">
        <x:v>package.json + scripts</x:v>
      </x:c>
      <x:c r="K5" s="31" t="str">
        <x:v>package.json, scripts/</x:v>
      </x:c>
      <x:c r="L5" s="31" t="str">
        <x:v>all</x:v>
      </x:c>
      <x:c r="M5" s="31" t="str">
        <x:v>npm run build/test + python validators</x:v>
      </x:c>
      <x:c r="N5" s="31" t="str">
        <x:v>pending</x:v>
      </x:c>
      <x:c r="O5" s="31" t="str"/>
      <x:c r="P5" s="31" t="str">
        <x:v>03_Bridge_Receipts/validation/RECEIPT_LOCAL_VALIDATION.md</x:v>
      </x:c>
      <x:c r="Q5" s="31" t="str">
        <x:v>missing_receipt</x:v>
      </x:c>
      <x:c r="R5" s="31" t="str">
        <x:v>Commands not run in target repo in this workbook</x:v>
      </x:c>
      <x:c r="S5" s="31" t="str">
        <x:v>Codex runs commands and records outputs</x:v>
      </x:c>
      <x:c r="T5" s="31" t="str">
        <x:v>Codex</x:v>
      </x:c>
      <x:c r="U5" s="31" t="str">
        <x:v>Run commands and update workbook proof columns</x:v>
      </x:c>
      <x:c r="V5" s="31" t="str">
        <x:v>incomplete</x:v>
      </x:c>
      <x:c r="W5" s="31" t="str">
        <x:v>Workbook creation is not repo validation</x:v>
      </x:c>
      <x:c r="X5" s="31" t="str">
        <x:v>Independent auditor: verify source_truth_reference, proof_artifact_path, validation_result, receipt_path, or exact_file_path. Downgrade any complete claim without proof.</x:v>
      </x:c>
    </x:row>
  </x:sheetData>
  <x:mergeCells>
    <x:mergeCell ref="A1:H1"/>
    <x:mergeCell ref="A2:H2"/>
  </x:mergeCells>
  <x:dataValidations count="4">
    <x:dataValidation type="list" sqref="F5:F200">
      <x:formula1>"verified_complete,partially_complete,missing,unverified,external_blocked,approval_required,not_applicable"</x:formula1>
    </x:dataValidation>
    <x:dataValidation type="list" sqref="G5:G200">
      <x:formula1>"P0_release_blocker,P1_high,P2_medium,P3_low,info"</x:formula1>
    </x:dataValidation>
    <x:dataValidation type="list" sqref="Q5:Q200">
      <x:formula1>"missing_file,missing_code,missing_doc,missing_test,missing_receipt,missing_env,missing_secret_manager,missing_live_access,missing_operator_approval,missing_auth_policy,missing_rls_policy,missing_deployment_proof,security_risk,build_failure,platform_limit,not_a_blocker"</x:formula1>
    </x:dataValidation>
    <x:dataValidation type="list" sqref="V5:V200">
      <x:formula1>"complete_with_proof,incomplete,externally_blocked_with_proof,approval_required,needs_human_review,not_applicable"</x:formula1>
    </x:dataValidation>
  </x:dataValidation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50" hidden="0" customWidth="1"/>
    <x:col min="5" max="5" width="58" hidden="0" customWidth="1"/>
    <x:col min="6" max="6" width="34" hidden="0" customWidth="1"/>
    <x:col min="7" max="7" width="32" hidden="0" customWidth="1"/>
    <x:col min="8" max="8" width="18" hidden="0" customWidth="1"/>
    <x:col min="9" max="9" width="20" hidden="0" customWidth="1"/>
    <x:col min="10" max="10" width="58" hidden="0" customWidth="1"/>
  </x:cols>
  <x:sheetData>
    <x:row r="1" ht="28" customHeight="1">
      <x:c r="A1" s="40" t="str">
        <x:v>Receipts Proof Index</x:v>
      </x:c>
      <x:c r="B1" s="40"/>
      <x:c r="C1" s="40"/>
      <x:c r="D1" s="40"/>
      <x:c r="E1" s="40"/>
      <x:c r="F1" s="40"/>
      <x:c r="G1" s="40"/>
      <x:c r="H1" s="40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 ht="24" customHeight="1">
      <x:c r="A2" s="13" t="str">
        <x:v>Every claim should eventually point to a receipt/proof row.</x:v>
      </x:c>
      <x:c r="B2" s="13"/>
      <x:c r="C2" s="13"/>
      <x:c r="D2" s="13"/>
      <x:c r="E2" s="13"/>
      <x:c r="F2" s="13"/>
      <x:c r="G2" s="13"/>
      <x:c r="H2" s="13"/>
    </x:row>
    <x:row r="4" ht="28" customHeight="1">
      <x:c r="A4" s="22" t="str">
        <x:v>proof_id</x:v>
      </x:c>
      <x:c r="B4" s="22" t="str">
        <x:v>proof_type</x:v>
      </x:c>
      <x:c r="C4" s="22" t="str">
        <x:v>related_gap_id</x:v>
      </x:c>
      <x:c r="D4" s="22" t="str">
        <x:v>proof_path</x:v>
      </x:c>
      <x:c r="E4" s="22" t="str">
        <x:v>proof_summary</x:v>
      </x:c>
      <x:c r="F4" s="22" t="str">
        <x:v>validation_command</x:v>
      </x:c>
      <x:c r="G4" s="22" t="str">
        <x:v>validation_output_summary</x:v>
      </x:c>
      <x:c r="H4" s="22" t="str">
        <x:v>timestamp</x:v>
      </x:c>
      <x:c r="I4" s="22" t="str">
        <x:v>auditor</x:v>
      </x:c>
      <x:c r="J4" s="22" t="str">
        <x:v>second_gpt_verification_instruction</x:v>
      </x:c>
    </x:row>
    <x:row r="5" ht="42" customHeight="1">
      <x:c r="A5" s="31" t="str">
        <x:v>PF-001</x:v>
      </x:c>
      <x:c r="B5" s="31" t="str">
        <x:v>workbook_creation</x:v>
      </x:c>
      <x:c r="C5" s="31" t="str">
        <x:v>HC-003</x:v>
      </x:c>
      <x:c r="D5" s="31" t="str">
        <x:v>/mnt/data/highest_repo_ceiling_package/01_Builder_Docs/highest-repo-ceiling-one-shot/AUTO_BUILDER_HIGHEST_REPO_CEILING_ONE_SHOT_WORKBOOK.xlsx</x:v>
      </x:c>
      <x:c r="E5" s="31" t="str">
        <x:v>Workbook created by assistant package generation</x:v>
      </x:c>
      <x:c r="F5" s="31" t="str">
        <x:v>workbook validator</x:v>
      </x:c>
      <x:c r="G5" s="31" t="str">
        <x:v>pending after export</x:v>
      </x:c>
      <x:c r="H5" s="31" t="str">
        <x:v>2026-07-08</x:v>
      </x:c>
      <x:c r="I5" s="31" t="str">
        <x:v>ChatGPT</x:v>
      </x:c>
      <x:c r="J5" s="31" t="str">
        <x:v>Open workbook and verify sheets</x:v>
      </x:c>
    </x:row>
    <x:row r="6" ht="42" customHeight="1">
      <x:c r="A6" s="31" t="str">
        <x:v>PF-002</x:v>
      </x:c>
      <x:c r="B6" s="31" t="str">
        <x:v>codex_handoff</x:v>
      </x:c>
      <x:c r="C6" s="31" t="str">
        <x:v>HC-008</x:v>
      </x:c>
      <x:c r="D6" s="31" t="str">
        <x:v>24_CODEX_INSTALL_HANDOFF</x:v>
      </x:c>
      <x:c r="E6" s="31" t="str">
        <x:v>Codex install prompt embedded</x:v>
      </x:c>
      <x:c r="F6" s="31" t="str">
        <x:v>workbook validator</x:v>
      </x:c>
      <x:c r="G6" s="31" t="str">
        <x:v>included</x:v>
      </x:c>
      <x:c r="H6" s="31" t="str">
        <x:v>2026-07-08</x:v>
      </x:c>
      <x:c r="I6" s="31" t="str">
        <x:v>ChatGPT</x:v>
      </x:c>
      <x:c r="J6" s="31" t="str">
        <x:v>Verify handoff sheet exists and contains target path</x:v>
      </x:c>
    </x:row>
    <x:row r="7" ht="42" customHeight="1">
      <x:c r="A7" s="31" t="str">
        <x:v>PF-003</x:v>
      </x:c>
      <x:c r="B7" s="31" t="str">
        <x:v>base44_handoff</x:v>
      </x:c>
      <x:c r="C7" s="31" t="str">
        <x:v>HC-009</x:v>
      </x:c>
      <x:c r="D7" s="31" t="str">
        <x:v>25_BASE44_AGENT_HANDOFF</x:v>
      </x:c>
      <x:c r="E7" s="31" t="str">
        <x:v>Base44 orchestration prompt embedded</x:v>
      </x:c>
      <x:c r="F7" s="31" t="str">
        <x:v>workbook validator</x:v>
      </x:c>
      <x:c r="G7" s="31" t="str">
        <x:v>included</x:v>
      </x:c>
      <x:c r="H7" s="31" t="str">
        <x:v>2026-07-08</x:v>
      </x:c>
      <x:c r="I7" s="31" t="str">
        <x:v>ChatGPT</x:v>
      </x:c>
      <x:c r="J7" s="31" t="str">
        <x:v>Verify handoff sheet exists and approval gates are present</x:v>
      </x:c>
    </x:row>
    <x:row r="8" ht="42" customHeight="1">
      <x:c r="A8" s="31" t="str">
        <x:v>PF-004</x:v>
      </x:c>
      <x:c r="B8" s="31" t="str">
        <x:v>no_visual_parity</x:v>
      </x:c>
      <x:c r="C8" s="31" t="str">
        <x:v>operator instruction</x:v>
      </x:c>
      <x:c r="D8" s="31" t="str">
        <x:v>Workbook sheets list</x:v>
      </x:c>
      <x:c r="E8" s="31" t="str">
        <x:v>Visual/UI parity sheets and screenshot governance added in all-in-one rebuild.</x:v>
      </x:c>
      <x:c r="F8" s="31" t="str">
        <x:v>manual sheet review</x:v>
      </x:c>
      <x:c r="G8" s="31" t="str">
        <x:v>included</x:v>
      </x:c>
      <x:c r="H8" s="31" t="str">
        <x:v>2026-07-08</x:v>
      </x:c>
      <x:c r="I8" s="31" t="str">
        <x:v>ChatGPT</x:v>
      </x:c>
      <x:c r="J8" s="31" t="str">
        <x:v>Verify all-in-one visual/UI sheets and receipts are present.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22" hidden="0" customWidth="1"/>
    <x:col min="4" max="4" width="28" hidden="0" customWidth="1"/>
    <x:col min="5" max="5" width="55" hidden="0" customWidth="1"/>
    <x:col min="6" max="6" width="55" hidden="0" customWidth="1"/>
    <x:col min="7" max="7" width="24" hidden="0" customWidth="1"/>
  </x:cols>
  <x:sheetData>
    <x:row r="1" ht="28" customHeight="1">
      <x:c r="A1" s="40" t="str">
        <x:v>Blockers and Workarounds</x:v>
      </x:c>
      <x:c r="B1" s="40"/>
      <x:c r="C1" s="40"/>
      <x:c r="D1" s="40"/>
      <x:c r="E1" s="40"/>
      <x:c r="F1" s="40"/>
      <x:c r="G1" s="40"/>
      <x:c r="H1" s="40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 ht="24" customHeight="1">
      <x:c r="A2" s="13" t="str">
        <x:v>External blockers are explicit gates, not fake failures.</x:v>
      </x:c>
      <x:c r="B2" s="13"/>
      <x:c r="C2" s="13"/>
      <x:c r="D2" s="13"/>
      <x:c r="E2" s="13"/>
      <x:c r="F2" s="13"/>
      <x:c r="G2" s="13"/>
      <x:c r="H2" s="13"/>
    </x:row>
    <x:row r="4" ht="28" customHeight="1">
      <x:c r="A4" s="22" t="str">
        <x:v>blocker_id</x:v>
      </x:c>
      <x:c r="B4" s="22" t="str">
        <x:v>blocker</x:v>
      </x:c>
      <x:c r="C4" s="22" t="str">
        <x:v>state</x:v>
      </x:c>
      <x:c r="D4" s="22" t="str">
        <x:v>blocker_type</x:v>
      </x:c>
      <x:c r="E4" s="22" t="str">
        <x:v>reason</x:v>
      </x:c>
      <x:c r="F4" s="22" t="str">
        <x:v>workaround</x:v>
      </x:c>
      <x:c r="G4" s="22" t="str">
        <x:v>owner</x:v>
      </x:c>
    </x:row>
    <x:row r="5" ht="42" customHeight="1">
      <x:c r="A5" s="31" t="str">
        <x:v>BLK-001</x:v>
      </x:c>
      <x:c r="B5" s="31" t="str">
        <x:v>Live Supabase read/write</x:v>
      </x:c>
      <x:c r="C5" s="31" t="str">
        <x:v>external_blocked</x:v>
      </x:c>
      <x:c r="D5" s="31" t="str">
        <x:v>missing_live_access</x:v>
      </x:c>
      <x:c r="E5" s="31" t="str">
        <x:v>Requires live project env context</x:v>
      </x:c>
      <x:c r="F5" s="31" t="str">
        <x:v>Use readiness endpoint returning booleans only</x:v>
      </x:c>
      <x:c r="G5" s="31" t="str">
        <x:v>Operator + Codex</x:v>
      </x:c>
    </x:row>
    <x:row r="6" ht="42" customHeight="1">
      <x:c r="A6" s="31" t="str">
        <x:v>BLK-002</x:v>
      </x:c>
      <x:c r="B6" s="31" t="str">
        <x:v>Auth/RLS approval</x:v>
      </x:c>
      <x:c r="C6" s="31" t="str">
        <x:v>approval_required</x:v>
      </x:c>
      <x:c r="D6" s="31" t="str">
        <x:v>missing_operator_approval</x:v>
      </x:c>
      <x:c r="E6" s="31" t="str">
        <x:v>Requires approved policy and live project</x:v>
      </x:c>
      <x:c r="F6" s="31" t="str">
        <x:v>Create approval checklist and migration receipt</x:v>
      </x:c>
      <x:c r="G6" s="31" t="str">
        <x:v>Operator</x:v>
      </x:c>
    </x:row>
    <x:row r="7" ht="42" customHeight="1">
      <x:c r="A7" s="31" t="str">
        <x:v>BLK-003</x:v>
      </x:c>
      <x:c r="B7" s="31" t="str">
        <x:v>Production deployment</x:v>
      </x:c>
      <x:c r="C7" s="31" t="str">
        <x:v>production_locked</x:v>
      </x:c>
      <x:c r="D7" s="31" t="str">
        <x:v>missing_operator_approval</x:v>
      </x:c>
      <x:c r="E7" s="31" t="str">
        <x:v>Requires live deploy approval and receipts</x:v>
      </x:c>
      <x:c r="F7" s="31" t="str">
        <x:v>Preview first, then production approval gate</x:v>
      </x:c>
      <x:c r="G7" s="31" t="str">
        <x:v>Operator</x:v>
      </x:c>
    </x:row>
    <x:row r="8" ht="42" customHeight="1">
      <x:c r="A8" s="31" t="str">
        <x:v>BLK-004</x:v>
      </x:c>
      <x:c r="B8" s="31" t="str">
        <x:v>Secrets</x:v>
      </x:c>
      <x:c r="C8" s="31" t="str">
        <x:v>external_blocked</x:v>
      </x:c>
      <x:c r="D8" s="31" t="str">
        <x:v>missing_secret_manager</x:v>
      </x:c>
      <x:c r="E8" s="31" t="str">
        <x:v>Workbook cannot store secret values</x:v>
      </x:c>
      <x:c r="F8" s="31" t="str">
        <x:v>Use Vercel/GitHub/Supabase secret managers</x:v>
      </x:c>
      <x:c r="G8" s="31" t="str">
        <x:v>Operator</x:v>
      </x:c>
    </x:row>
    <x:row r="9" ht="42" customHeight="1">
      <x:c r="A9" s="31" t="str">
        <x:v>BLK-005</x:v>
      </x:c>
      <x:c r="B9" s="31" t="str">
        <x:v>Repo latest truth</x:v>
      </x:c>
      <x:c r="C9" s="31" t="str">
        <x:v>unverified</x:v>
      </x:c>
      <x:c r="D9" s="31" t="str">
        <x:v>missing_live_access</x:v>
      </x:c>
      <x:c r="E9" s="31" t="str">
        <x:v>Workbook generated outside target repo branch</x:v>
      </x:c>
      <x:c r="F9" s="31" t="str">
        <x:v>Codex installs and updates proof columns</x:v>
      </x:c>
      <x:c r="G9" s="31" t="str">
        <x:v>Codex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62" hidden="0" customWidth="1"/>
    <x:col min="4" max="4" width="58" hidden="0" customWidth="1"/>
    <x:col min="5" max="5" width="42" hidden="0" customWidth="1"/>
  </x:cols>
  <x:sheetData>
    <x:row r="1" ht="28" customHeight="1">
      <x:c r="A1" s="40" t="str">
        <x:v>Rollback Recovery Plan</x:v>
      </x:c>
      <x:c r="B1" s="40"/>
      <x:c r="C1" s="40"/>
      <x:c r="D1" s="40"/>
      <x:c r="E1" s="40"/>
      <x:c r="F1" s="40"/>
      <x:c r="G1" s="40"/>
      <x:c r="H1" s="40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 ht="24" customHeight="1">
      <x:c r="A2" s="13" t="str">
        <x:v>Rollback must be known before release. Vercel rollback commands included.</x:v>
      </x:c>
      <x:c r="B2" s="13"/>
      <x:c r="C2" s="13"/>
      <x:c r="D2" s="13"/>
      <x:c r="E2" s="13"/>
      <x:c r="F2" s="13"/>
      <x:c r="G2" s="13"/>
      <x:c r="H2" s="13"/>
    </x:row>
    <x:row r="4" ht="28" customHeight="1">
      <x:c r="A4" s="22" t="str">
        <x:v>rollback_id</x:v>
      </x:c>
      <x:c r="B4" s="22" t="str">
        <x:v>area</x:v>
      </x:c>
      <x:c r="C4" s="22" t="str">
        <x:v>rollback_action</x:v>
      </x:c>
      <x:c r="D4" s="22" t="str">
        <x:v>command_or_method</x:v>
      </x:c>
      <x:c r="E4" s="22" t="str">
        <x:v>receipt_path</x:v>
      </x:c>
    </x:row>
    <x:row r="5" ht="42" customHeight="1">
      <x:c r="A5" s="31" t="str">
        <x:v>RB-001</x:v>
      </x:c>
      <x:c r="B5" s="31" t="str">
        <x:v>Workbook install rollback</x:v>
      </x:c>
      <x:c r="C5" s="31" t="str">
        <x:v>Remove highest-repo-ceiling-one-shot folder and restore previous docs</x:v>
      </x:c>
      <x:c r="D5" s="31" t="str">
        <x:v>git checkout -- 01_Builder_Docs/highest-repo-ceiling-one-shot</x:v>
      </x:c>
      <x:c r="E5" s="31" t="str">
        <x:v>03_Bridge_Receipts/rollback/ROLLBACK_HIGHEST_REPO_CEILING_INSTALL.md</x:v>
      </x:c>
    </x:row>
    <x:row r="6" ht="42" customHeight="1">
      <x:c r="A6" s="31" t="str">
        <x:v>RB-002</x:v>
      </x:c>
      <x:c r="B6" s="31" t="str">
        <x:v>Repo code patch rollback</x:v>
      </x:c>
      <x:c r="C6" s="31" t="str">
        <x:v>Revert Codex branch commits or close PR</x:v>
      </x:c>
      <x:c r="D6" s="31" t="str">
        <x:v>git revert &lt;sha&gt; or reset branch before merge</x:v>
      </x:c>
      <x:c r="E6" s="31" t="str">
        <x:v>REPO_RECEIPT_LOG.md</x:v>
      </x:c>
    </x:row>
    <x:row r="7" ht="42" customHeight="1">
      <x:c r="A7" s="31" t="str">
        <x:v>RB-003</x:v>
      </x:c>
      <x:c r="B7" s="31" t="str">
        <x:v>Vercel deployment rollback</x:v>
      </x:c>
      <x:c r="C7" s="31" t="str">
        <x:v>Use Vercel rollback to previous production deployment</x:v>
      </x:c>
      <x:c r="D7" s="31" t="str">
        <x:v>vercel rollback [deployment-id-or-url]; vercel rollback status [project]</x:v>
      </x:c>
      <x:c r="E7" s="31" t="str">
        <x:v>Vercel rollback receipt</x:v>
      </x:c>
    </x:row>
    <x:row r="8" ht="42" customHeight="1">
      <x:c r="A8" s="31" t="str">
        <x:v>RB-004</x:v>
      </x:c>
      <x:c r="B8" s="31" t="str">
        <x:v>Supabase rollback</x:v>
      </x:c>
      <x:c r="C8" s="31" t="str">
        <x:v>Use migration rollback plan; do not migrate production without approval</x:v>
      </x:c>
      <x:c r="D8" s="31" t="str">
        <x:v>migration rollback SQL + backup receipt</x:v>
      </x:c>
      <x:c r="E8" s="31" t="str">
        <x:v>Supabase migration receipt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  <x:col min="3" max="3" width="28" hidden="0" customWidth="1"/>
    <x:col min="4" max="4" width="48" hidden="0" customWidth="1"/>
  </x:cols>
  <x:sheetData>
    <x:row r="1" ht="28" customHeight="1">
      <x:c r="A1" s="40" t="str">
        <x:v>Release Gate</x:v>
      </x:c>
      <x:c r="B1" s="40"/>
      <x:c r="C1" s="40"/>
      <x:c r="D1" s="40"/>
      <x:c r="E1" s="40"/>
      <x:c r="F1" s="40"/>
      <x:c r="G1" s="40"/>
      <x:c r="H1" s="40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 ht="24" customHeight="1">
      <x:c r="A2" s="13" t="str">
        <x:v>Production remains locked until evidence exists. Merge readiness is separate from production readiness.</x:v>
      </x:c>
      <x:c r="B2" s="13"/>
      <x:c r="C2" s="13"/>
      <x:c r="D2" s="13"/>
      <x:c r="E2" s="13"/>
      <x:c r="F2" s="13"/>
      <x:c r="G2" s="13"/>
      <x:c r="H2" s="13"/>
    </x:row>
    <x:row r="4" ht="28" customHeight="1">
      <x:c r="A4" s="22" t="str">
        <x:v>Gate</x:v>
      </x:c>
      <x:c r="B4" s="22" t="str">
        <x:v>Required Evidence</x:v>
      </x:c>
      <x:c r="C4" s="22" t="str">
        <x:v>Current State</x:v>
      </x:c>
      <x:c r="D4" s="22" t="str">
        <x:v>Release Impact</x:v>
      </x:c>
    </x:row>
    <x:row r="5" ht="42" customHeight="1">
      <x:c r="A5" s="31" t="str">
        <x:v>Merge readiness</x:v>
      </x:c>
      <x:c r="B5" s="31" t="str">
        <x:v>All local repo-side P0 blockers closed or externally blocked with proof; validation passes; receipts exist; rollback path exists</x:v>
      </x:c>
      <x:c r="C5" s="31" t="str">
        <x:v>conditional</x:v>
      </x:c>
      <x:c r="D5" s="31" t="str">
        <x:v>Can merge review only after Codex proof</x:v>
      </x:c>
    </x:row>
    <x:row r="6" ht="42" customHeight="1">
      <x:c r="A6" s="31" t="str">
        <x:v>Preview readiness</x:v>
      </x:c>
      <x:c r="B6" s="31" t="str">
        <x:v>Vercel preview deploy, logs reviewed, runtime routes checked, no P0 failures</x:v>
      </x:c>
      <x:c r="C6" s="31" t="str">
        <x:v>external_blocked</x:v>
      </x:c>
      <x:c r="D6" s="31" t="str">
        <x:v>Requires Vercel context</x:v>
      </x:c>
    </x:row>
    <x:row r="7" ht="42" customHeight="1">
      <x:c r="A7" s="31" t="str">
        <x:v>Production readiness</x:v>
      </x:c>
      <x:c r="B7" s="31" t="str">
        <x:v>Live env, auth/RLS, Supabase read/write if applicable, cron secret, deploy receipt, rollback proof, monitoring, operator approval</x:v>
      </x:c>
      <x:c r="C7" s="31" t="str">
        <x:v>production_locked</x:v>
      </x:c>
      <x:c r="D7" s="31" t="str">
        <x:v>Do not mark production-ready from workbook alone</x:v>
      </x:c>
    </x:row>
    <x:row r="20">
      <x:c r="A20" s="52" t="str">
        <x:v>visual_gate</x:v>
      </x:c>
      <x:c r="B20" s="52" t="str">
        <x:v>condition</x:v>
      </x:c>
      <x:c r="C20" s="52" t="str">
        <x:v>release_status</x:v>
      </x:c>
      <x:c r="D20" s="52" t="str">
        <x:v>evidence_required</x:v>
      </x:c>
    </x:row>
    <x:row r="21">
      <x:c r="A21" s="41" t="str">
        <x:v>UI project visual parity</x:v>
      </x:c>
      <x:c r="B21" s="41" t="str">
        <x:v>Required if project has website/app/dashboard/portal/landing page/admin UI.</x:v>
      </x:c>
      <x:c r="C21" s="41" t="str">
        <x:v>blocks release if unresolved P0/P1 drift</x:v>
      </x:c>
      <x:c r="D21" s="41" t="str">
        <x:v>28-37 visual sheets + screenshot receipts</x:v>
      </x:c>
    </x:row>
    <x:row r="22">
      <x:c r="A22" s="41" t="str">
        <x:v>approved mockup truth</x:v>
      </x:c>
      <x:c r="B22" s="41" t="str">
        <x:v>Approved visual source truth must be recorded.</x:v>
      </x:c>
      <x:c r="C22" s="41" t="str">
        <x:v>blocks release</x:v>
      </x:c>
      <x:c r="D22" s="41" t="str">
        <x:v>29_APPROVED_MOCKUP_TRUTH</x:v>
      </x:c>
    </x:row>
    <x:row r="23">
      <x:c r="A23" s="41" t="str">
        <x:v>visual screenshots</x:v>
      </x:c>
      <x:c r="B23" s="41" t="str">
        <x:v>Desktop/tablet/mobile captures required.</x:v>
      </x:c>
      <x:c r="C23" s="41" t="str">
        <x:v>blocks release</x:v>
      </x:c>
      <x:c r="D23" s="41" t="str">
        <x:v>30_SCREENSHOT_CAPTURE_MATRIX + 33_PLAYWRIGHT_VISUAL_RECEIPTS</x:v>
      </x:c>
    </x:row>
    <x:row r="24">
      <x:c r="A24" s="41" t="str">
        <x:v>visual approval</x:v>
      </x:c>
      <x:c r="B24" s="41" t="str">
        <x:v>Operator must approve visual output or accept exceptions.</x:v>
      </x:c>
      <x:c r="C24" s="41" t="str">
        <x:v>blocks release</x:v>
      </x:c>
      <x:c r="D24" s="41" t="str">
        <x:v>operator approval receipt</x:v>
      </x:c>
    </x:row>
    <x:row r="25">
      <x:c r="A25" s="41" t="str">
        <x:v>production proof</x:v>
      </x:c>
      <x:c r="B25" s="41" t="str">
        <x:v>Visual pass does not equal production-ready.</x:v>
      </x:c>
      <x:c r="C25" s="41" t="str">
        <x:v>still locked until production receipts exist</x:v>
      </x:c>
      <x:c r="D25" s="41" t="str">
        <x:v>env/auth/RLS/deploy/rollback/monitoring receipts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66" hidden="0" customWidth="1"/>
    <x:col min="4" max="4" width="26" hidden="0" customWidth="1"/>
    <x:col min="5" max="5" width="70" hidden="0" customWidth="1"/>
  </x:cols>
  <x:sheetData>
    <x:row r="1" ht="28" customHeight="1">
      <x:c r="A1" s="40" t="str">
        <x:v>Recursive Audit Log</x:v>
      </x:c>
      <x:c r="B1" s="40"/>
      <x:c r="C1" s="40"/>
      <x:c r="D1" s="40"/>
      <x:c r="E1" s="40"/>
      <x:c r="F1" s="40"/>
      <x:c r="G1" s="40"/>
      <x:c r="H1" s="40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 ht="24" customHeight="1">
      <x:c r="A2" s="13" t="str">
        <x:v>Workbook self-audit passes represented. Codex must rerun after repo install.</x:v>
      </x:c>
      <x:c r="B2" s="13"/>
      <x:c r="C2" s="13"/>
      <x:c r="D2" s="13"/>
      <x:c r="E2" s="13"/>
      <x:c r="F2" s="13"/>
      <x:c r="G2" s="13"/>
      <x:c r="H2" s="13"/>
    </x:row>
    <x:row r="4" ht="28" customHeight="1">
      <x:c r="A4" s="22" t="str">
        <x:v>audit_pass</x:v>
      </x:c>
      <x:c r="B4" s="22" t="str">
        <x:v>audit_name</x:v>
      </x:c>
      <x:c r="C4" s="22" t="str">
        <x:v>coverage</x:v>
      </x:c>
      <x:c r="D4" s="22" t="str">
        <x:v>completion_status</x:v>
      </x:c>
      <x:c r="E4" s="22" t="str">
        <x:v>evidence</x:v>
      </x:c>
    </x:row>
    <x:row r="5" ht="42" customHeight="1">
      <x:c r="A5" s="31" t="str">
        <x:v>PASS 1</x:v>
      </x:c>
      <x:c r="B5" s="31" t="str">
        <x:v>Structure audit</x:v>
      </x:c>
      <x:c r="C5" s="31" t="str">
        <x:v>required sheets and columns checked</x:v>
      </x:c>
      <x:c r="D5" s="31" t="str">
        <x:v>complete_with_proof</x:v>
      </x:c>
      <x:c r="E5" s="31" t="str">
        <x:v>Workbook generated with required sheets; 16_SECURITY sheet normalized to Excel length</x:v>
      </x:c>
    </x:row>
    <x:row r="6" ht="42" customHeight="1">
      <x:c r="A6" s="31" t="str">
        <x:v>PASS 2</x:v>
      </x:c>
      <x:c r="B6" s="31" t="str">
        <x:v>Category coverage audit</x:v>
      </x:c>
      <x:c r="C6" s="31" t="str">
        <x:v>source truth, workbook, GitHub, Supabase, Vercel, Codex, connector, security, validation, receipts, rollback, release, business, Base44</x:v>
      </x:c>
      <x:c r="D6" s="31" t="str">
        <x:v>complete_with_proof</x:v>
      </x:c>
      <x:c r="E6" s="31" t="str">
        <x:v>All categories represented in sheets and ledger rows</x:v>
      </x:c>
    </x:row>
    <x:row r="7" ht="42" customHeight="1">
      <x:c r="A7" s="31" t="str">
        <x:v>PASS 3</x:v>
      </x:c>
      <x:c r="B7" s="31" t="str">
        <x:v>Proof audit</x:v>
      </x:c>
      <x:c r="C7" s="31" t="str">
        <x:v>complete rows require proof references</x:v>
      </x:c>
      <x:c r="D7" s="31" t="str">
        <x:v>complete_with_proof</x:v>
      </x:c>
      <x:c r="E7" s="31" t="str">
        <x:v>Complete rows include workbook sheet/package path proofs; repo-side rows remain unverified</x:v>
      </x:c>
    </x:row>
    <x:row r="8" ht="42" customHeight="1">
      <x:c r="A8" s="31" t="str">
        <x:v>PASS 4</x:v>
      </x:c>
      <x:c r="B8" s="31" t="str">
        <x:v>Contradiction audit</x:v>
      </x:c>
      <x:c r="C8" s="31" t="str">
        <x:v>production/merge/fake-ready claims downgraded</x:v>
      </x:c>
      <x:c r="D8" s="31" t="str">
        <x:v>complete_with_proof</x:v>
      </x:c>
      <x:c r="E8" s="31" t="str">
        <x:v>Production readiness marked locked/external</x:v>
      </x:c>
    </x:row>
    <x:row r="9" ht="42" customHeight="1">
      <x:c r="A9" s="31" t="str">
        <x:v>PASS 5</x:v>
      </x:c>
      <x:c r="B9" s="31" t="str">
        <x:v>Scorecard audit</x:v>
      </x:c>
      <x:c r="C9" s="31" t="str">
        <x:v>scores formula-driven by status</x:v>
      </x:c>
      <x:c r="D9" s="31" t="str">
        <x:v>complete_with_proof</x:v>
      </x:c>
      <x:c r="E9" s="31" t="str">
        <x:v>Scorecard formulas included</x:v>
      </x:c>
    </x:row>
    <x:row r="10" ht="42" customHeight="1">
      <x:c r="A10" s="31" t="str">
        <x:v>PASS 6</x:v>
      </x:c>
      <x:c r="B10" s="31" t="str">
        <x:v>Second-GPT readiness</x:v>
      </x:c>
      <x:c r="C10" s="31" t="str">
        <x:v>audit prompt embedded</x:v>
      </x:c>
      <x:c r="D10" s="31" t="str">
        <x:v>complete_with_proof</x:v>
      </x:c>
      <x:c r="E10" s="31" t="str">
        <x:v>Sheet 26 included</x:v>
      </x:c>
    </x:row>
    <x:row r="11" ht="42" customHeight="1">
      <x:c r="A11" s="31" t="str">
        <x:v>PASS 7</x:v>
      </x:c>
      <x:c r="B11" s="31" t="str">
        <x:v>Codex install readiness</x:v>
      </x:c>
      <x:c r="C11" s="31" t="str">
        <x:v>Codex prompt embedded</x:v>
      </x:c>
      <x:c r="D11" s="31" t="str">
        <x:v>complete_with_proof</x:v>
      </x:c>
      <x:c r="E11" s="31" t="str">
        <x:v>Sheet 24 included</x:v>
      </x:c>
    </x:row>
    <x:row r="12" ht="42" customHeight="1">
      <x:c r="A12" s="31" t="str">
        <x:v>PASS 8</x:v>
      </x:c>
      <x:c r="B12" s="31" t="str">
        <x:v>Base44 handoff readiness</x:v>
      </x:c>
      <x:c r="C12" s="31" t="str">
        <x:v>Base44 prompt embedded</x:v>
      </x:c>
      <x:c r="D12" s="31" t="str">
        <x:v>complete_with_proof</x:v>
      </x:c>
      <x:c r="E12" s="31" t="str">
        <x:v>Sheet 25 included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46" hidden="0" customWidth="1"/>
    <x:col min="3" max="3" width="16" hidden="0" customWidth="1"/>
    <x:col min="4" max="4" width="70" hidden="0" customWidth="1"/>
  </x:cols>
  <x:sheetData>
    <x:row r="1" ht="28" customHeight="1">
      <x:c r="A1" s="40" t="str">
        <x:v>Scorecard</x:v>
      </x:c>
      <x:c r="B1" s="40"/>
      <x:c r="C1" s="40"/>
      <x:c r="D1" s="40"/>
      <x:c r="E1" s="40"/>
      <x:c r="F1" s="40"/>
      <x:c r="G1" s="40"/>
      <x:c r="H1" s="40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 ht="24" customHeight="1">
      <x:c r="A2" s="13" t="str">
        <x:v>Formula-driven readiness scoring. External blockers get partial credit but no production credit.</x:v>
      </x:c>
      <x:c r="B2" s="13"/>
      <x:c r="C2" s="13"/>
      <x:c r="D2" s="13"/>
      <x:c r="E2" s="13"/>
      <x:c r="F2" s="13"/>
      <x:c r="G2" s="13"/>
      <x:c r="H2" s="13"/>
    </x:row>
    <x:row r="4" ht="28" customHeight="1">
      <x:c r="A4" s="22" t="str">
        <x:v>Metric</x:v>
      </x:c>
      <x:c r="B4" s="22" t="str">
        <x:v>Formula / Value</x:v>
      </x:c>
      <x:c r="C4" s="22" t="str">
        <x:v>Score</x:v>
      </x:c>
      <x:c r="D4" s="22" t="str">
        <x:v>Notes</x:v>
      </x:c>
    </x:row>
    <x:row r="5" ht="42" customHeight="1">
      <x:c r="A5" s="31" t="str">
        <x:v>Total required items</x:v>
      </x:c>
      <x:c r="B5" s="31" t="n">
        <x:f>COUNTA('05_GAP_MASTER_LEDGER'!A5:A200)</x:f>
        <x:v>18</x:v>
      </x:c>
      <x:c r="C5" s="31" t="str"/>
      <x:c r="D5" s="31" t="str">
        <x:v>Total rows in master ledger</x:v>
      </x:c>
    </x:row>
    <x:row r="6" ht="42" customHeight="1">
      <x:c r="A6" s="31" t="str">
        <x:v>Verified complete</x:v>
      </x:c>
      <x:c r="B6" s="31" t="n">
        <x:f>COUNTIF('05_GAP_MASTER_LEDGER'!F5:F200,"verified_complete")</x:f>
        <x:v>4</x:v>
      </x:c>
      <x:c r="C6" s="31" t="str"/>
      <x:c r="D6" s="31" t="str">
        <x:v>Full credit only with proof</x:v>
      </x:c>
    </x:row>
    <x:row r="7" ht="42" customHeight="1">
      <x:c r="A7" s="31" t="str">
        <x:v>Incomplete</x:v>
      </x:c>
      <x:c r="B7" s="31" t="n">
        <x:f>COUNTIF('05_GAP_MASTER_LEDGER'!V5:V200,"incomplete")</x:f>
        <x:v>10</x:v>
      </x:c>
      <x:c r="C7" s="31" t="str"/>
      <x:c r="D7" s="31" t="str">
        <x:v>Needs Codex/operator action</x:v>
      </x:c>
    </x:row>
    <x:row r="8" ht="42" customHeight="1">
      <x:c r="A8" s="31" t="str">
        <x:v>Unverified</x:v>
      </x:c>
      <x:c r="B8" s="31" t="n">
        <x:f>COUNTIF('05_GAP_MASTER_LEDGER'!F5:F200,"unverified")</x:f>
        <x:v>10</x:v>
      </x:c>
      <x:c r="C8" s="31" t="str"/>
      <x:c r="D8" s="31" t="str">
        <x:v>No credit</x:v>
      </x:c>
    </x:row>
    <x:row r="9" ht="42" customHeight="1">
      <x:c r="A9" s="31" t="str">
        <x:v>External blockers</x:v>
      </x:c>
      <x:c r="B9" s="31" t="n">
        <x:f>COUNTIF('05_GAP_MASTER_LEDGER'!F5:F200,"external_blocked")</x:f>
        <x:v>1</x:v>
      </x:c>
      <x:c r="C9" s="31" t="str"/>
      <x:c r="D9" s="31" t="str">
        <x:v>Partial process credit, no prod credit</x:v>
      </x:c>
    </x:row>
    <x:row r="10" ht="42" customHeight="1">
      <x:c r="A10" s="31" t="str">
        <x:v>Approval required</x:v>
      </x:c>
      <x:c r="B10" s="31" t="n">
        <x:f>COUNTIF('05_GAP_MASTER_LEDGER'!F5:F200,"approval_required")</x:f>
        <x:v>0</x:v>
      </x:c>
      <x:c r="C10" s="31" t="str"/>
      <x:c r="D10" s="31" t="str">
        <x:v>Operator gate</x:v>
      </x:c>
    </x:row>
    <x:row r="11" ht="42" customHeight="1">
      <x:c r="A11" s="31" t="str">
        <x:v>P0 blockers</x:v>
      </x:c>
      <x:c r="B11" s="31" t="n">
        <x:f>COUNTIF('05_GAP_MASTER_LEDGER'!G5:G200,"P0_release_blocker")</x:f>
        <x:v>13</x:v>
      </x:c>
      <x:c r="C11" s="31" t="str"/>
      <x:c r="D11" s="31" t="str">
        <x:v>Must close or external-block with proof for merge review</x:v>
      </x:c>
    </x:row>
    <x:row r="12" ht="42" customHeight="1">
      <x:c r="A12" s="31" t="str">
        <x:v>P1 blockers</x:v>
      </x:c>
      <x:c r="B12" s="31" t="n">
        <x:f>COUNTIF('05_GAP_MASTER_LEDGER'!G5:G200,"P1_high")</x:f>
        <x:v>4</x:v>
      </x:c>
      <x:c r="C12" s="31" t="str"/>
      <x:c r="D12" s="31" t="str">
        <x:v>High priority hardening</x:v>
      </x:c>
    </x:row>
    <x:row r="13" ht="42" customHeight="1">
      <x:c r="A13" s="31" t="str">
        <x:v>Proof coverage %</x:v>
      </x:c>
      <x:c r="B13" s="31" t="n">
        <x:f>IF(B2=0,0,(B3+COUNTIF('05_GAP_MASTER_LEDGER'!V5:V200,"externally_blocked_with_proof"))/B2)</x:f>
        <x:v>0</x:v>
      </x:c>
      <x:c r="C13" s="31" t="str"/>
      <x:c r="D13" s="31" t="str">
        <x:v>Proof-backed rows / total</x:v>
      </x:c>
    </x:row>
    <x:row r="14" ht="42" customHeight="1">
      <x:c r="A14" s="31" t="str">
        <x:v>Codex install readiness score</x:v>
      </x:c>
      <x:c r="B14" s="31" t="n">
        <x:f>IF(COUNTIF('05_GAP_MASTER_LEDGER'!A5:A200,"HC-008")&gt;0,100,0)</x:f>
        <x:v>100</x:v>
      </x:c>
      <x:c r="C14" s="31" t="str"/>
      <x:c r="D14" s="31" t="str">
        <x:v>Handoff exists in workbook</x:v>
      </x:c>
    </x:row>
    <x:row r="15" ht="42" customHeight="1">
      <x:c r="A15" s="31" t="str">
        <x:v>Base44 readiness score</x:v>
      </x:c>
      <x:c r="B15" s="31" t="n">
        <x:f>IF(COUNTIF('05_GAP_MASTER_LEDGER'!A5:A200,"HC-009")&gt;0,100,0)</x:f>
        <x:v>100</x:v>
      </x:c>
      <x:c r="C15" s="31" t="str"/>
      <x:c r="D15" s="31" t="str">
        <x:v>Base44 handoff exists in workbook</x:v>
      </x:c>
    </x:row>
    <x:row r="16" ht="42" customHeight="1">
      <x:c r="A16" s="31" t="str">
        <x:v>Merge readiness score</x:v>
      </x:c>
      <x:c r="B16" s="31" t="e">
        <x:f>MAX(0,100-(B8*10)-(B4*5)-(B5*8))</x:f>
      </x:c>
      <x:c r="C16" s="31" t="str"/>
      <x:c r="D16" s="31" t="str">
        <x:v>Formula estimate only, must be verified by Codex</x:v>
      </x:c>
    </x:row>
    <x:row r="17" ht="42" customHeight="1">
      <x:c r="A17" s="31" t="str">
        <x:v>Production readiness score</x:v>
      </x:c>
      <x:c r="B17" s="31" t="n">
        <x:f>0</x:f>
        <x:v>0</x:v>
      </x:c>
      <x:c r="C17" s="31" t="str"/>
      <x:c r="D17" s="31" t="str">
        <x:v>Locked until live env/auth/RLS/deploy/rollback/monitoring/operator receipts exist</x:v>
      </x:c>
    </x:row>
    <x:row r="18" ht="42" customHeight="1">
      <x:c r="A18" s="52" t="str">
        <x:v>score_area</x:v>
      </x:c>
      <x:c r="B18" s="52" t="str">
        <x:v>weight</x:v>
      </x:c>
      <x:c r="C18" s="52" t="str">
        <x:v>status</x:v>
      </x:c>
      <x:c r="D18" s="52" t="str">
        <x:v>evidence</x:v>
      </x:c>
      <x:c r="E18" s="52" t="str">
        <x:v>notes</x:v>
      </x:c>
    </x:row>
    <x:row r="19">
      <x:c r="A19" s="41" t="str">
        <x:v>Engineering/repo ceiling</x:v>
      </x:c>
      <x:c r="B19" s="41" t="n">
        <x:v>50</x:v>
      </x:c>
      <x:c r="C19" s="41" t="str">
        <x:v>existing workbook gated</x:v>
      </x:c>
      <x:c r="D19" s="41" t="str">
        <x:v>00-27 + 99</x:v>
      </x:c>
      <x:c r="E19" s="41" t="str">
        <x:v>Repo/runtime/governance remains core.</x:v>
      </x:c>
    </x:row>
    <x:row r="20">
      <x:c r="A20" s="41" t="str">
        <x:v>Visual/UI ceiling</x:v>
      </x:c>
      <x:c r="B20" s="41" t="n">
        <x:v>25</x:v>
      </x:c>
      <x:c r="C20" s="41" t="str">
        <x:v>new all-in-one gated</x:v>
      </x:c>
      <x:c r="D20" s="41" t="str">
        <x:v>28-37</x:v>
      </x:c>
      <x:c r="E20" s="41" t="str">
        <x:v>Required for any UI project.</x:v>
      </x:c>
    </x:row>
    <x:row r="21">
      <x:c r="A21" s="41" t="str">
        <x:v>Runtime/production proof</x:v>
      </x:c>
      <x:c r="B21" s="41" t="n">
        <x:v>15</x:v>
      </x:c>
      <x:c r="C21" s="41" t="str">
        <x:v>external receipts required</x:v>
      </x:c>
      <x:c r="D21" s="41" t="str">
        <x:v>Vercel/Supabase/security/monitoring</x:v>
      </x:c>
      <x:c r="E21" s="41" t="str">
        <x:v>Not proven by workbook alone.</x:v>
      </x:c>
    </x:row>
    <x:row r="22">
      <x:c r="A22" s="41" t="str">
        <x:v>Operator approval</x:v>
      </x:c>
      <x:c r="B22" s="41" t="n">
        <x:v>10</x:v>
      </x:c>
      <x:c r="C22" s="41" t="str">
        <x:v>required</x:v>
      </x:c>
      <x:c r="D22" s="41" t="str">
        <x:v>approval receipt</x:v>
      </x:c>
      <x:c r="E22" s="41" t="str">
        <x:v>No production release without operator approval.</x:v>
      </x:c>
    </x:row>
    <x:row r="23">
      <x:c r="A23" s="41" t="str">
        <x:v>TOTAL</x:v>
      </x:c>
      <x:c r="B23" s="41" t="n">
        <x:v>100</x:v>
      </x:c>
      <x:c r="C23" s="41" t="str">
        <x:v>not production-ready by workbook alone</x:v>
      </x:c>
      <x:c r="D23" s="41" t="str">
        <x:v>all gates</x:v>
      </x:c>
      <x:c r="E23" s="41" t="str">
        <x:v>Ceiling workbook defines gates, not external proof.</x:v>
      </x:c>
    </x:row>
    <x:row r="24">
      <x:c r="A24" s="41" t="str">
        <x:v>FULL RELEASE RULE</x:v>
      </x:c>
      <x:c r="B24" s="41" t="str">
        <x:v>N/A</x:v>
      </x:c>
      <x:c r="C24" s="41" t="str">
        <x:v>blocked until all relevant gates pass</x:v>
      </x:c>
      <x:c r="D24" s="41" t="str">
        <x:v>21_RELEASE_GATE + 36_VISUAL_RELEASE_GATE</x:v>
      </x:c>
      <x:c r="E24" s="41" t="str">
        <x:v>No fake readiness.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10" hidden="0" customWidth="1"/>
  </x:cols>
  <x:sheetData>
    <x:row r="1" ht="28" customHeight="1">
      <x:c r="A1" s="67" t="str">
        <x:v>Codex Install Handoff</x:v>
      </x:c>
      <x:c r="B1" s="67" t="str">
        <x:v>All-in-one repo ceiling workbook with visual/UI parity included</x:v>
      </x:c>
      <x:c r="C1" s="40"/>
      <x:c r="D1" s="40"/>
      <x:c r="E1" s="40"/>
      <x:c r="F1" s="40"/>
      <x:c r="G1" s="40"/>
      <x:c r="H1" s="40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 ht="24" customHeight="1">
      <x:c r="A2" s="76" t="str">
        <x:v>Branch</x:v>
      </x:c>
      <x:c r="B2" s="64" t="str">
        <x:v>codex/install-highest-repo-ceiling-all-in-one-workbook</x:v>
      </x:c>
      <x:c r="C2" s="13"/>
      <x:c r="D2" s="13"/>
      <x:c r="E2" s="13"/>
      <x:c r="F2" s="13"/>
      <x:c r="G2" s="13"/>
      <x:c r="H2" s="13"/>
    </x:row>
    <x:row r="3">
      <x:c r="A3" s="77" t="str">
        <x:v>Target path</x:v>
      </x:c>
      <x:c r="B3" s="41" t="str">
        <x:v>01_Builder_Docs/highest-repo-ceiling-all-in-one/AUTO_BUILDER_HIGHEST_REPO_CEILING_ALL_IN_ONE_WORKBOOK.xlsx</x:v>
      </x:c>
    </x:row>
    <x:row r="4" ht="28" customHeight="1">
      <x:c r="A4" s="74" t="str">
        <x:v>Do not push to main</x:v>
      </x:c>
      <x:c r="B4" s="78" t="str">
        <x:v>Required. Use branch only until operator approval.</x:v>
      </x:c>
    </x:row>
    <x:row r="5" ht="42" customHeight="1">
      <x:c r="A5" s="75" t="str">
        <x:v>Do not deploy production</x:v>
      </x:c>
      <x:c r="B5" s="31" t="str">
        <x:v>Required. Workbook install is not production deployment.</x:v>
      </x:c>
    </x:row>
    <x:row r="6" ht="42" customHeight="1">
      <x:c r="A6" s="75" t="str">
        <x:v>Do not expose secrets</x:v>
      </x:c>
      <x:c r="B6" s="31" t="str">
        <x:v>Required. Never print, commit, or infer secrets.</x:v>
      </x:c>
    </x:row>
    <x:row r="7" ht="42" customHeight="1">
      <x:c r="A7" s="75" t="str">
        <x:v>Do not mark production-ready</x:v>
      </x:c>
      <x:c r="B7" s="31" t="str">
        <x:v>Required. Production readiness needs env/auth/RLS/deploy/rollback/monitoring/operator receipts.</x:v>
      </x:c>
    </x:row>
    <x:row r="8">
      <x:c r="A8" s="77" t="str">
        <x:v>Validation command</x:v>
      </x:c>
      <x:c r="B8" s="41" t="str">
        <x:v>python 01_Builder_Docs/highest-repo-ceiling-all-in-one/scripts/highest_repo_ceiling_all_in_one_validator.py 01_Builder_Docs/highest-repo-ceiling-all-in-one/AUTO_BUILDER_HIGHEST_REPO_CEILING_ALL_IN_ONE_WORKBOOK.xlsx</x:v>
      </x:c>
    </x:row>
    <x:row r="9">
      <x:c r="A9" s="77" t="str">
        <x:v>Visual/UI command loop</x:v>
      </x:c>
      <x:c r="B9" s="41" t="str">
        <x:v>Read sheets 28-37, capture screenshots, update visual drift ledger, fix P0/P1 drift, rerun Playwright visual receipts.</x:v>
      </x:c>
    </x:row>
    <x:row r="10">
      <x:c r="A10" s="77" t="str">
        <x:v>Receipt paths</x:v>
      </x:c>
      <x:c r="B10" s="41" t="str">
        <x:v>03_Bridge_Receipts/validation/RECEIPT_VALIDATE_HIGHEST_REPO_CEILING_ALL_IN_ONE.md; 03_Bridge_Receipts/visual/VISUAL_PARITY_REPORT.md</x:v>
      </x:c>
    </x:row>
    <x:row r="11">
      <x:c r="A11" s="77" t="str">
        <x:v>Final output format</x:v>
      </x:c>
      <x:c r="B11" s="41" t="str">
        <x:v>PHASE, STEP, BRANCH, FILES INSPECTED, VALIDATOR RESULT, VISUAL STATUS, PRODUCTION LOCK, VERIFIED, INFERRED, COULD NOT VERIFY, BLOCKERS, WORKAROUNDS, NEXT ACTIONS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10" hidden="0" customWidth="1"/>
  </x:cols>
  <x:sheetData>
    <x:row r="1" ht="28" customHeight="1">
      <x:c r="A1" s="67" t="str">
        <x:v>Base44 Agent Handoff</x:v>
      </x:c>
      <x:c r="B1" s="67" t="str">
        <x:v>All-in-one visual + engineering ceiling orchestrator</x:v>
      </x:c>
      <x:c r="C1" s="40"/>
      <x:c r="D1" s="40"/>
      <x:c r="E1" s="40"/>
      <x:c r="F1" s="40"/>
      <x:c r="G1" s="40"/>
      <x:c r="H1" s="40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 ht="24" customHeight="1">
      <x:c r="A2" s="76" t="str">
        <x:v>Base44 orchestration role</x:v>
      </x:c>
      <x:c r="B2" s="64" t="str">
        <x:v>Govern approved mockup, UI parity, screenshot receipts, Codex routing, operator approval, and release gates.</x:v>
      </x:c>
      <x:c r="C2" s="13"/>
      <x:c r="D2" s="13"/>
      <x:c r="E2" s="13"/>
      <x:c r="F2" s="13"/>
      <x:c r="G2" s="13"/>
      <x:c r="H2" s="13"/>
    </x:row>
    <x:row r="3">
      <x:c r="A3" s="77" t="str">
        <x:v>Target workbook path</x:v>
      </x:c>
      <x:c r="B3" s="41" t="str">
        <x:v>01_Builder_Docs/highest-repo-ceiling-all-in-one/AUTO_BUILDER_HIGHEST_REPO_CEILING_ALL_IN_ONE_WORKBOOK.xlsx</x:v>
      </x:c>
    </x:row>
    <x:row r="4" ht="28" customHeight="1">
      <x:c r="A4" s="74" t="str">
        <x:v>Source truth order</x:v>
      </x:c>
      <x:c r="B4" s="78" t="str">
        <x:v>Operator approval &gt; approved mockup/Figma/GPT screenshot &gt; brand pack &gt; content map &gt; workbook gates &gt; repo receipts.</x:v>
      </x:c>
    </x:row>
    <x:row r="5" ht="42" customHeight="1">
      <x:c r="A5" s="75" t="str">
        <x:v>Allowed actions</x:v>
      </x:c>
      <x:c r="B5" s="31" t="str">
        <x:v>Create preview/sandbox packets, UI parity notes, screenshot requirements, drift ledgers, and Codex routing tasks.</x:v>
      </x:c>
    </x:row>
    <x:row r="6" ht="42" customHeight="1">
      <x:c r="A6" s="75" t="str">
        <x:v>Blocked actions without operator approval</x:v>
      </x:c>
      <x:c r="B6" s="31" t="str">
        <x:v>Live publish, production deploy, payment setup, secret exposure, brand/design direction changes, customer messages, destructive actions.</x:v>
      </x:c>
    </x:row>
    <x:row r="7" ht="42" customHeight="1">
      <x:c r="A7" s="75" t="str">
        <x:v>Task classifications</x:v>
      </x:c>
      <x:c r="B7" s="31" t="str">
        <x:v>P0 release blocker; P1 serious drift/gap; P2 backlog/improvement with receipt.</x:v>
      </x:c>
    </x:row>
    <x:row r="8">
      <x:c r="A8" s="77" t="str">
        <x:v>Codex routing responsibilities</x:v>
      </x:c>
      <x:c r="B8" s="41" t="str">
        <x:v>Send code/UI drift fixes to Codex with exact files, screenshots, drift IDs, and pass/fail receipts.</x:v>
      </x:c>
    </x:row>
    <x:row r="9">
      <x:c r="A9" s="77" t="str">
        <x:v>GPT routing responsibilities</x:v>
      </x:c>
      <x:c r="B9" s="41" t="str">
        <x:v>Send ambiguous design decisions, audits, scoring, and operator-facing summaries to GPT.</x:v>
      </x:c>
    </x:row>
    <x:row r="10">
      <x:c r="A10" s="77" t="str">
        <x:v>Operator approval routing</x:v>
      </x:c>
      <x:c r="B10" s="41" t="str">
        <x:v>Escalate visual exceptions, production gates, brand direction changes, and release approvals.</x:v>
      </x:c>
    </x:row>
    <x:row r="11">
      <x:c r="A11" s="77" t="str">
        <x:v>Final output format</x:v>
      </x:c>
      <x:c r="B11" s="41" t="str">
        <x:v>PHASE, STEP, VISUAL STATUS, ENGINEERING STATUS, APPROVALS NEEDED, RECEIPTS, VERIFIED, INFERRED, COULD NOT VERIFY, BLOCKERS, WORKAROUNDS, NEXT ACTIONS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10" hidden="0" customWidth="1"/>
  </x:cols>
  <x:sheetData>
    <x:row r="1" ht="28" customHeight="1">
      <x:c r="A1" s="67" t="str">
        <x:v>Second-GPT Audit Prompt</x:v>
      </x:c>
      <x:c r="B1" s="67" t="str">
        <x:v>Independent all-in-one workbook/package audit</x:v>
      </x:c>
      <x:c r="C1" s="40"/>
      <x:c r="D1" s="40"/>
      <x:c r="E1" s="40"/>
      <x:c r="F1" s="40"/>
      <x:c r="G1" s="40"/>
      <x:c r="H1" s="40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 ht="24" customHeight="1">
      <x:c r="A2" s="76" t="str">
        <x:v>Role</x:v>
      </x:c>
      <x:c r="B2" s="64" t="str">
        <x:v>You are an independent audit validator. Do not trust summary claims. Inspect the actual workbook, package, docs, validator, and receipts.</x:v>
      </x:c>
      <x:c r="C2" s="13"/>
      <x:c r="D2" s="13"/>
      <x:c r="E2" s="13"/>
      <x:c r="F2" s="13"/>
      <x:c r="G2" s="13"/>
      <x:c r="H2" s="13"/>
    </x:row>
    <x:row r="3">
      <x:c r="A3" s="77" t="str">
        <x:v>Sheets to inspect</x:v>
      </x:c>
      <x:c r="B3" s="41" t="str">
        <x:v>00-27 engineering/repo ceiling sheets, 28-37 visual/UI ceiling sheets, and 99 validation lists.</x:v>
      </x:c>
    </x:row>
    <x:row r="4" ht="28" customHeight="1">
      <x:c r="A4" s="74" t="str">
        <x:v>Proof checking instructions</x:v>
      </x:c>
      <x:c r="B4" s="78" t="str">
        <x:v>Verify sheets, required content, validator output, visual source truth, screenshot matrix, drift ledger, UI scorecard, release gates, rollback, and production lock.</x:v>
      </x:c>
    </x:row>
    <x:row r="5" ht="42" customHeight="1">
      <x:c r="A5" s="75" t="str">
        <x:v>Contradiction checks</x:v>
      </x:c>
      <x:c r="B5" s="31" t="str">
        <x:v>Do not call production-ready without production proof. Do not call visual pass without source truth/screenshots. Do not call release-ready with open P0/P1 drift.</x:v>
      </x:c>
    </x:row>
    <x:row r="6">
      <x:c r="A6" s="77" t="str">
        <x:v>Final output blocks</x:v>
      </x:c>
      <x:c r="B6" s="41" t="str">
        <x:v>VERIFIED; INFERRED; COULD NOT VERIFY; BLOCKERS; WORKAROUNDS; NEXT ACTIONS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00" hidden="0" customWidth="1"/>
  </x:cols>
  <x:sheetData>
    <x:row r="1" ht="28" customHeight="1">
      <x:c r="A1" s="40" t="str">
        <x:v>Final Operator Handoff</x:v>
      </x:c>
      <x:c r="B1" s="40"/>
      <x:c r="C1" s="40"/>
      <x:c r="D1" s="40"/>
      <x:c r="E1" s="40"/>
      <x:c r="F1" s="40"/>
      <x:c r="G1" s="40"/>
      <x:c r="H1" s="40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 ht="24" customHeight="1">
      <x:c r="A2" s="13" t="str">
        <x:v>Operator instructions for using this workbook package.</x:v>
      </x:c>
      <x:c r="B2" s="13"/>
      <x:c r="C2" s="13"/>
      <x:c r="D2" s="13"/>
      <x:c r="E2" s="13"/>
      <x:c r="F2" s="13"/>
      <x:c r="G2" s="13"/>
      <x:c r="H2" s="13"/>
    </x:row>
    <x:row r="4" ht="28" customHeight="1">
      <x:c r="A4" s="22" t="str">
        <x:v>final_output_field</x:v>
      </x:c>
      <x:c r="B4" s="22" t="str">
        <x:v>value</x:v>
      </x:c>
    </x:row>
    <x:row r="5" ht="42" customHeight="1">
      <x:c r="A5" s="31" t="str">
        <x:v>WORKBOOK CREATED</x:v>
      </x:c>
      <x:c r="B5" s="31" t="str">
        <x:v>AUTO_BUILDER_HIGHEST_REPO_CEILING_ONE_SHOT_WORKBOOK.xlsx</x:v>
      </x:c>
    </x:row>
    <x:row r="6" ht="42" customHeight="1">
      <x:c r="A6" s="31" t="str">
        <x:v>WORKBOOK PATH</x:v>
      </x:c>
      <x:c r="B6" s="31" t="str">
        <x:v>01_Builder_Docs/highest-repo-ceiling-one-shot/AUTO_BUILDER_HIGHEST_REPO_CEILING_ONE_SHOT_WORKBOOK.xlsx</x:v>
      </x:c>
    </x:row>
    <x:row r="7" ht="42" customHeight="1">
      <x:c r="A7" s="31" t="str">
        <x:v>SHEETS CREATED</x:v>
      </x:c>
      <x:c r="B7" s="31" t="str">
        <x:v>29</x:v>
      </x:c>
    </x:row>
    <x:row r="8" ht="42" customHeight="1">
      <x:c r="A8" s="31" t="str">
        <x:v>TOTAL ITEMS AUDITED</x:v>
      </x:c>
      <x:c r="B8" s="31" t="str">
        <x:v>18</x:v>
      </x:c>
    </x:row>
    <x:row r="9" ht="42" customHeight="1">
      <x:c r="A9" s="31" t="str">
        <x:v>CODEX HANDOFF COMPLETE</x:v>
      </x:c>
      <x:c r="B9" s="31" t="str">
        <x:v>YES</x:v>
      </x:c>
    </x:row>
    <x:row r="10" ht="42" customHeight="1">
      <x:c r="A10" s="31" t="str">
        <x:v>BASE44 HANDOFF COMPLETE</x:v>
      </x:c>
      <x:c r="B10" s="31" t="str">
        <x:v>YES</x:v>
      </x:c>
    </x:row>
    <x:row r="11" ht="42" customHeight="1">
      <x:c r="A11" s="31" t="str">
        <x:v>SECOND-GPT AUDIT PROMPT COMPLETE</x:v>
      </x:c>
      <x:c r="B11" s="31" t="str">
        <x:v>YES</x:v>
      </x:c>
    </x:row>
    <x:row r="12" ht="42" customHeight="1">
      <x:c r="A12" s="31" t="str">
        <x:v>VISUAL/UI PARITY INCLUDED</x:v>
      </x:c>
      <x:c r="B12" s="31" t="str">
        <x:v>YES: included in sheets 28-37 with release gate dependency for UI projects.</x:v>
      </x:c>
    </x:row>
    <x:row r="13" ht="42" customHeight="1">
      <x:c r="A13" s="31" t="str">
        <x:v>FINAL MERGE READINESS</x:v>
      </x:c>
      <x:c r="B13" s="31" t="str">
        <x:v>CONDITIONAL: only after Codex closes repo-side P0/P1 gaps and validation passes</x:v>
      </x:c>
    </x:row>
    <x:row r="14" ht="42" customHeight="1">
      <x:c r="A14" s="31" t="str">
        <x:v>FINAL PRODUCTION READINESS</x:v>
      </x:c>
      <x:c r="B14" s="31" t="str">
        <x:v>NOT PRODUCTION READY: external gates remain</x:v>
      </x:c>
    </x:row>
    <x:row r="15" ht="42" customHeight="1">
      <x:c r="A15" s="31" t="str">
        <x:v>NEXT ACTION</x:v>
      </x:c>
      <x:c r="B15" s="31" t="str">
        <x:v>Install package into repo branch, run validator, then give Codex and Base44 their embedded prompts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0" hidden="0" customWidth="1"/>
  </x:cols>
  <x:sheetData>
    <x:row r="1" ht="28" customHeight="1">
      <x:c r="A1" s="40" t="str">
        <x:v>Validation Lists</x:v>
      </x:c>
      <x:c r="B1" s="40"/>
      <x:c r="C1" s="40"/>
      <x:c r="D1" s="40"/>
      <x:c r="E1" s="40"/>
      <x:c r="F1" s="40"/>
      <x:c r="G1" s="40"/>
      <x:c r="H1" s="40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 ht="24" customHeight="1">
      <x:c r="A2" s="13" t="str">
        <x:v>Dropdown source values and normalized sheet-name note.</x:v>
      </x:c>
      <x:c r="B2" s="13"/>
      <x:c r="C2" s="13"/>
      <x:c r="D2" s="13"/>
      <x:c r="E2" s="13"/>
      <x:c r="F2" s="13"/>
      <x:c r="G2" s="13"/>
      <x:c r="H2" s="13"/>
    </x:row>
    <x:row r="4" ht="28" customHeight="1">
      <x:c r="A4" s="22" t="str">
        <x:v>list_name</x:v>
      </x:c>
      <x:c r="B4" s="22" t="str">
        <x:v>value</x:v>
      </x:c>
    </x:row>
    <x:row r="5" ht="42" customHeight="1">
      <x:c r="A5" s="31" t="str">
        <x:v>current_status</x:v>
      </x:c>
      <x:c r="B5" s="31" t="str">
        <x:v>verified_complete</x:v>
      </x:c>
    </x:row>
    <x:row r="6" ht="42" customHeight="1">
      <x:c r="A6" s="31" t="str">
        <x:v>current_status</x:v>
      </x:c>
      <x:c r="B6" s="31" t="str">
        <x:v>partially_complete</x:v>
      </x:c>
    </x:row>
    <x:row r="7" ht="42" customHeight="1">
      <x:c r="A7" s="31" t="str">
        <x:v>current_status</x:v>
      </x:c>
      <x:c r="B7" s="31" t="str">
        <x:v>missing</x:v>
      </x:c>
    </x:row>
    <x:row r="8" ht="42" customHeight="1">
      <x:c r="A8" s="31" t="str">
        <x:v>current_status</x:v>
      </x:c>
      <x:c r="B8" s="31" t="str">
        <x:v>unverified</x:v>
      </x:c>
    </x:row>
    <x:row r="9" ht="42" customHeight="1">
      <x:c r="A9" s="31" t="str">
        <x:v>current_status</x:v>
      </x:c>
      <x:c r="B9" s="31" t="str">
        <x:v>external_blocked</x:v>
      </x:c>
    </x:row>
    <x:row r="10" ht="42" customHeight="1">
      <x:c r="A10" s="31" t="str">
        <x:v>current_status</x:v>
      </x:c>
      <x:c r="B10" s="31" t="str">
        <x:v>approval_required</x:v>
      </x:c>
    </x:row>
    <x:row r="11" ht="42" customHeight="1">
      <x:c r="A11" s="31" t="str">
        <x:v>current_status</x:v>
      </x:c>
      <x:c r="B11" s="31" t="str">
        <x:v>not_applicable</x:v>
      </x:c>
    </x:row>
    <x:row r="12" ht="42" customHeight="1">
      <x:c r="A12" s="31" t="str">
        <x:v>severity</x:v>
      </x:c>
      <x:c r="B12" s="31" t="str">
        <x:v>P0_release_blocker</x:v>
      </x:c>
    </x:row>
    <x:row r="13" ht="42" customHeight="1">
      <x:c r="A13" s="31" t="str">
        <x:v>severity</x:v>
      </x:c>
      <x:c r="B13" s="31" t="str">
        <x:v>P1_high</x:v>
      </x:c>
    </x:row>
    <x:row r="14" ht="42" customHeight="1">
      <x:c r="A14" s="31" t="str">
        <x:v>severity</x:v>
      </x:c>
      <x:c r="B14" s="31" t="str">
        <x:v>P2_medium</x:v>
      </x:c>
    </x:row>
    <x:row r="15" ht="42" customHeight="1">
      <x:c r="A15" s="31" t="str">
        <x:v>severity</x:v>
      </x:c>
      <x:c r="B15" s="31" t="str">
        <x:v>P3_low</x:v>
      </x:c>
    </x:row>
    <x:row r="16" ht="42" customHeight="1">
      <x:c r="A16" s="31" t="str">
        <x:v>severity</x:v>
      </x:c>
      <x:c r="B16" s="31" t="str">
        <x:v>info</x:v>
      </x:c>
    </x:row>
    <x:row r="17" ht="42" customHeight="1">
      <x:c r="A17" s="31" t="str">
        <x:v>completion_status</x:v>
      </x:c>
      <x:c r="B17" s="31" t="str">
        <x:v>complete_with_proof</x:v>
      </x:c>
    </x:row>
    <x:row r="18" ht="42" customHeight="1">
      <x:c r="A18" s="31" t="str">
        <x:v>completion_status</x:v>
      </x:c>
      <x:c r="B18" s="31" t="str">
        <x:v>incomplete</x:v>
      </x:c>
    </x:row>
    <x:row r="19" ht="42" customHeight="1">
      <x:c r="A19" s="31" t="str">
        <x:v>completion_status</x:v>
      </x:c>
      <x:c r="B19" s="31" t="str">
        <x:v>externally_blocked_with_proof</x:v>
      </x:c>
    </x:row>
    <x:row r="20" ht="42" customHeight="1">
      <x:c r="A20" s="31" t="str">
        <x:v>completion_status</x:v>
      </x:c>
      <x:c r="B20" s="31" t="str">
        <x:v>approval_required</x:v>
      </x:c>
    </x:row>
    <x:row r="21" ht="42" customHeight="1">
      <x:c r="A21" s="31" t="str">
        <x:v>completion_status</x:v>
      </x:c>
      <x:c r="B21" s="31" t="str">
        <x:v>needs_human_review</x:v>
      </x:c>
    </x:row>
    <x:row r="22" ht="42" customHeight="1">
      <x:c r="A22" s="31" t="str">
        <x:v>completion_status</x:v>
      </x:c>
      <x:c r="B22" s="31" t="str">
        <x:v>not_applicable</x:v>
      </x:c>
    </x:row>
    <x:row r="23" ht="42" customHeight="1">
      <x:c r="A23" s="31" t="str">
        <x:v>blocker_type</x:v>
      </x:c>
      <x:c r="B23" s="31" t="str">
        <x:v>missing_file</x:v>
      </x:c>
    </x:row>
    <x:row r="24" ht="42" customHeight="1">
      <x:c r="A24" s="31" t="str">
        <x:v>blocker_type</x:v>
      </x:c>
      <x:c r="B24" s="31" t="str">
        <x:v>missing_code</x:v>
      </x:c>
    </x:row>
    <x:row r="25" ht="42" customHeight="1">
      <x:c r="A25" s="31" t="str">
        <x:v>blocker_type</x:v>
      </x:c>
      <x:c r="B25" s="31" t="str">
        <x:v>missing_doc</x:v>
      </x:c>
    </x:row>
    <x:row r="26" ht="42" customHeight="1">
      <x:c r="A26" s="31" t="str">
        <x:v>blocker_type</x:v>
      </x:c>
      <x:c r="B26" s="31" t="str">
        <x:v>missing_test</x:v>
      </x:c>
    </x:row>
    <x:row r="27" ht="42" customHeight="1">
      <x:c r="A27" s="31" t="str">
        <x:v>blocker_type</x:v>
      </x:c>
      <x:c r="B27" s="31" t="str">
        <x:v>missing_receipt</x:v>
      </x:c>
    </x:row>
    <x:row r="28" ht="42" customHeight="1">
      <x:c r="A28" s="31" t="str">
        <x:v>blocker_type</x:v>
      </x:c>
      <x:c r="B28" s="31" t="str">
        <x:v>missing_env</x:v>
      </x:c>
    </x:row>
    <x:row r="29" ht="42" customHeight="1">
      <x:c r="A29" s="31" t="str">
        <x:v>blocker_type</x:v>
      </x:c>
      <x:c r="B29" s="31" t="str">
        <x:v>missing_secret_manager</x:v>
      </x:c>
    </x:row>
    <x:row r="30" ht="42" customHeight="1">
      <x:c r="A30" s="31" t="str">
        <x:v>blocker_type</x:v>
      </x:c>
      <x:c r="B30" s="31" t="str">
        <x:v>missing_live_access</x:v>
      </x:c>
    </x:row>
    <x:row r="31" ht="42" customHeight="1">
      <x:c r="A31" s="31" t="str">
        <x:v>blocker_type</x:v>
      </x:c>
      <x:c r="B31" s="31" t="str">
        <x:v>missing_operator_approval</x:v>
      </x:c>
    </x:row>
    <x:row r="32" ht="42" customHeight="1">
      <x:c r="A32" s="31" t="str">
        <x:v>blocker_type</x:v>
      </x:c>
      <x:c r="B32" s="31" t="str">
        <x:v>missing_auth_policy</x:v>
      </x:c>
    </x:row>
    <x:row r="33" ht="42" customHeight="1">
      <x:c r="A33" s="31" t="str">
        <x:v>blocker_type</x:v>
      </x:c>
      <x:c r="B33" s="31" t="str">
        <x:v>missing_rls_policy</x:v>
      </x:c>
    </x:row>
    <x:row r="34" ht="42" customHeight="1">
      <x:c r="A34" s="31" t="str">
        <x:v>blocker_type</x:v>
      </x:c>
      <x:c r="B34" s="31" t="str">
        <x:v>missing_deployment_proof</x:v>
      </x:c>
    </x:row>
    <x:row r="35" ht="42" customHeight="1">
      <x:c r="A35" s="31" t="str">
        <x:v>blocker_type</x:v>
      </x:c>
      <x:c r="B35" s="31" t="str">
        <x:v>security_risk</x:v>
      </x:c>
    </x:row>
    <x:row r="36" ht="42" customHeight="1">
      <x:c r="A36" s="31" t="str">
        <x:v>blocker_type</x:v>
      </x:c>
      <x:c r="B36" s="31" t="str">
        <x:v>build_failure</x:v>
      </x:c>
    </x:row>
    <x:row r="37" ht="42" customHeight="1">
      <x:c r="A37" s="31" t="str">
        <x:v>blocker_type</x:v>
      </x:c>
      <x:c r="B37" s="31" t="str">
        <x:v>platform_limit</x:v>
      </x:c>
    </x:row>
    <x:row r="38" ht="42" customHeight="1">
      <x:c r="A38" s="31" t="str">
        <x:v>blocker_type</x:v>
      </x:c>
      <x:c r="B38" s="31" t="str">
        <x:v>not_a_blocker</x:v>
      </x:c>
    </x:row>
    <x:row r="39" ht="42" customHeight="1">
      <x:c r="A39" s="31" t="str">
        <x:v>normalized_sheet_name</x:v>
      </x:c>
      <x:c r="B39" s="31" t="str">
        <x:v>16_SECURITY_SECRET_READINESS used because Excel sheet names max at 31 characters. Requested concept: 16_SECURITY_AND_SECRET_READINESS.</x:v>
      </x:c>
    </x:row>
    <x:row r="40">
      <x:c r="A40" s="52" t="str">
        <x:v>all_in_one_visual_sheets</x:v>
      </x:c>
      <x:c r="B40" s="52" t="str">
        <x:v>required</x:v>
      </x:c>
      <x:c r="C40" s="52" t="str">
        <x:v>reason</x:v>
      </x:c>
    </x:row>
    <x:row r="41">
      <x:c r="A41" s="41" t="str">
        <x:v>28_VISUAL_PARITY_CHARTER</x:v>
      </x:c>
      <x:c r="B41" s="41" t="str">
        <x:v>yes</x:v>
      </x:c>
      <x:c r="C41" s="41" t="str">
        <x:v>Visual parity governance charter</x:v>
      </x:c>
    </x:row>
    <x:row r="42">
      <x:c r="A42" s="41" t="str">
        <x:v>29_APPROVED_MOCKUP_TRUTH</x:v>
      </x:c>
      <x:c r="B42" s="41" t="str">
        <x:v>yes</x:v>
      </x:c>
      <x:c r="C42" s="41" t="str">
        <x:v>Approved source truth ledger</x:v>
      </x:c>
    </x:row>
    <x:row r="43">
      <x:c r="A43" s="41" t="str">
        <x:v>30_SCREENSHOT_CAPTURE_MATRIX</x:v>
      </x:c>
      <x:c r="B43" s="41" t="str">
        <x:v>yes</x:v>
      </x:c>
      <x:c r="C43" s="41" t="str">
        <x:v>Screenshot capture requirements</x:v>
      </x:c>
    </x:row>
    <x:row r="44">
      <x:c r="A44" s="41" t="str">
        <x:v>31_VISUAL_DRIFT_LEDGER</x:v>
      </x:c>
      <x:c r="B44" s="41" t="str">
        <x:v>yes</x:v>
      </x:c>
      <x:c r="C44" s="41" t="str">
        <x:v>Visual drift triage ledger</x:v>
      </x:c>
    </x:row>
    <x:row r="45">
      <x:c r="A45" s="41" t="str">
        <x:v>32_UI_PARITY_SCORECARD</x:v>
      </x:c>
      <x:c r="B45" s="41" t="str">
        <x:v>yes</x:v>
      </x:c>
      <x:c r="C45" s="41" t="str">
        <x:v>Weighted UI parity scoring</x:v>
      </x:c>
    </x:row>
    <x:row r="46">
      <x:c r="A46" s="41" t="str">
        <x:v>33_PLAYWRIGHT_VISUAL_RECEIPTS</x:v>
      </x:c>
      <x:c r="B46" s="41" t="str">
        <x:v>yes</x:v>
      </x:c>
      <x:c r="C46" s="41" t="str">
        <x:v>Screenshot/Playwright receipts</x:v>
      </x:c>
    </x:row>
    <x:row r="47">
      <x:c r="A47" s="41" t="str">
        <x:v>34_CODEX_UI_FIX_LOOP</x:v>
      </x:c>
      <x:c r="B47" s="41" t="str">
        <x:v>yes</x:v>
      </x:c>
      <x:c r="C47" s="41" t="str">
        <x:v>Codex UI correction handoff</x:v>
      </x:c>
    </x:row>
    <x:row r="48">
      <x:c r="A48" s="41" t="str">
        <x:v>35_BASE44_VISUAL_LOCK_HANDOFF</x:v>
      </x:c>
      <x:c r="B48" s="41" t="str">
        <x:v>yes</x:v>
      </x:c>
      <x:c r="C48" s="41" t="str">
        <x:v>Base44 visual lock handoff</x:v>
      </x:c>
    </x:row>
    <x:row r="49">
      <x:c r="A49" s="41" t="str">
        <x:v>36_VISUAL_RELEASE_GATE</x:v>
      </x:c>
      <x:c r="B49" s="41" t="str">
        <x:v>yes</x:v>
      </x:c>
      <x:c r="C49" s="41" t="str">
        <x:v>Visual release blocker gates</x:v>
      </x:c>
    </x:row>
    <x:row r="50">
      <x:c r="A50" s="41" t="str">
        <x:v>37_VISUAL_ROLLBACK_PLAN</x:v>
      </x:c>
      <x:c r="B50" s="41" t="str">
        <x:v>yes</x:v>
      </x:c>
      <x:c r="C50" s="41" t="str">
        <x:v>Visual rollback plan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0" hidden="0" customWidth="1"/>
    <x:col min="3" max="3" width="26" hidden="0" customWidth="1"/>
  </x:cols>
  <x:sheetData>
    <x:row r="1">
      <x:c r="A1" s="52" t="str">
        <x:v>field</x:v>
      </x:c>
      <x:c r="B1" s="52" t="str">
        <x:v>value</x:v>
      </x:c>
      <x:c r="C1" s="52" t="str">
        <x:v>gate</x:v>
      </x:c>
    </x:row>
    <x:row r="2">
      <x:c r="A2" s="41" t="str">
        <x:v>purpose</x:v>
      </x:c>
      <x:c r="B2" s="41" t="str">
        <x:v>Verify final UI matches approved visual source truth before release.</x:v>
      </x:c>
      <x:c r="C2" s="41" t="str">
        <x:v>required for any UI project</x:v>
      </x:c>
    </x:row>
    <x:row r="3">
      <x:c r="A3" s="41" t="str">
        <x:v>scope</x:v>
      </x:c>
      <x:c r="B3" s="41" t="str">
        <x:v>Websites, apps, dashboards, portals, landing pages, mobile views, admin consoles, client portals, and AI chat interfaces.</x:v>
      </x:c>
      <x:c r="C3" s="41" t="str">
        <x:v>ui_only</x:v>
      </x:c>
    </x:row>
    <x:row r="4">
      <x:c r="A4" s="41" t="str">
        <x:v>non_scope</x:v>
      </x:c>
      <x:c r="B4" s="41" t="str">
        <x:v>This does not replace security, production, runtime, data, env, or connector validation.</x:v>
      </x:c>
      <x:c r="C4" s="41" t="str">
        <x:v>must remain separate</x:v>
      </x:c>
    </x:row>
    <x:row r="5">
      <x:c r="A5" s="41" t="str">
        <x:v>source truth</x:v>
      </x:c>
      <x:c r="B5" s="41" t="str">
        <x:v>Approved mockup, screenshot, Figma frame, GPT image, design brief, component library, brand pack, and locked content order.</x:v>
      </x:c>
      <x:c r="C5" s="41" t="str">
        <x:v>must be recorded</x:v>
      </x:c>
    </x:row>
    <x:row r="6">
      <x:c r="A6" s="41" t="str">
        <x:v>pass threshold</x:v>
      </x:c>
      <x:c r="B6" s="41" t="str">
        <x:v>No unresolved P0/P1 visual drift. P2 issues require operator acceptance or backlog receipt.</x:v>
      </x:c>
      <x:c r="C6" s="41" t="str">
        <x:v>release_gate</x:v>
      </x:c>
    </x:row>
    <x:row r="7">
      <x:c r="A7" s="41" t="str">
        <x:v>receipts</x:v>
      </x:c>
      <x:c r="B7" s="41" t="str">
        <x:v>Before/after screenshots, Playwright desktop/mobile captures, visual diff notes, operator approval, and rollback path.</x:v>
      </x:c>
      <x:c r="C7" s="41" t="str">
        <x:v>required</x:v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34" hidden="0" customWidth="1"/>
    <x:col min="4" max="4" width="18" hidden="0" customWidth="1"/>
    <x:col min="5" max="5" width="16" hidden="0" customWidth="1"/>
    <x:col min="6" max="6" width="45" hidden="0" customWidth="1"/>
    <x:col min="7" max="7" width="48" hidden="0" customWidth="1"/>
    <x:col min="8" max="8" width="18" hidden="0" customWidth="1"/>
  </x:cols>
  <x:sheetData>
    <x:row r="1">
      <x:c r="A1" s="52" t="str">
        <x:v>mockup_id</x:v>
      </x:c>
      <x:c r="B1" s="52" t="str">
        <x:v>source_type</x:v>
      </x:c>
      <x:c r="C1" s="52" t="str">
        <x:v>source_location</x:v>
      </x:c>
      <x:c r="D1" s="52" t="str">
        <x:v>approved_by</x:v>
      </x:c>
      <x:c r="E1" s="52" t="str">
        <x:v>approval_date</x:v>
      </x:c>
      <x:c r="F1" s="52" t="str">
        <x:v>locked_elements</x:v>
      </x:c>
      <x:c r="G1" s="52" t="str">
        <x:v>notes</x:v>
      </x:c>
      <x:c r="H1" s="52" t="str">
        <x:v>status</x:v>
      </x:c>
    </x:row>
    <x:row r="2">
      <x:c r="A2" s="41" t="str">
        <x:v>MCK-001</x:v>
      </x:c>
      <x:c r="B2" s="41" t="str">
        <x:v>GPT mockup / screenshot / Figma / design brief</x:v>
      </x:c>
      <x:c r="C2" s="41" t="str">
        <x:v>TBD: attach path or URL</x:v>
      </x:c>
      <x:c r="D2" s="41" t="str">
        <x:v>Jeremy / Operator</x:v>
      </x:c>
      <x:c r="E2" s="41" t="str">
        <x:v>TBD</x:v>
      </x:c>
      <x:c r="F2" s="41" t="str">
        <x:v>layout, section order, colors, typography, spacing, CTAs, forms, hero, mobile behavior</x:v>
      </x:c>
      <x:c r="G2" s="41" t="str">
        <x:v>Do not let builders reinterpret without approval.</x:v>
      </x:c>
      <x:c r="H2" s="41" t="str">
        <x:v>pending_source</x:v>
      </x:c>
    </x:row>
    <x:row r="3">
      <x:c r="A3" s="41" t="str">
        <x:v>MCK-002</x:v>
      </x:c>
      <x:c r="B3" s="41" t="str">
        <x:v>brand pack</x:v>
      </x:c>
      <x:c r="C3" s="41" t="str">
        <x:v>TBD</x:v>
      </x:c>
      <x:c r="D3" s="41" t="str">
        <x:v>Operator</x:v>
      </x:c>
      <x:c r="E3" s="41" t="str">
        <x:v>TBD</x:v>
      </x:c>
      <x:c r="F3" s="41" t="str">
        <x:v>logo, palette, type scale, button style, imagery rules</x:v>
      </x:c>
      <x:c r="G3" s="41" t="str">
        <x:v>Used as secondary source truth after approved mockup.</x:v>
      </x:c>
      <x:c r="H3" s="41" t="str">
        <x:v>pending_source</x:v>
      </x:c>
    </x:row>
    <x:row r="4">
      <x:c r="A4" s="41" t="str">
        <x:v>MCK-003</x:v>
      </x:c>
      <x:c r="B4" s="41" t="str">
        <x:v>content map</x:v>
      </x:c>
      <x:c r="C4" s="41" t="str">
        <x:v>TBD</x:v>
      </x:c>
      <x:c r="D4" s="41" t="str">
        <x:v>Operator</x:v>
      </x:c>
      <x:c r="E4" s="41" t="str">
        <x:v>TBD</x:v>
      </x:c>
      <x:c r="F4" s="41" t="str">
        <x:v>headlines, page order, CTA text, trust badges, disclaimers</x:v>
      </x:c>
      <x:c r="G4" s="41" t="str">
        <x:v>Content drift is treated as visual/product drift when page meaning changes.</x:v>
      </x:c>
      <x:c r="H4" s="41" t="str">
        <x:v>pending_source</x:v>
      </x:c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2" hidden="0" customWidth="1"/>
    <x:col min="4" max="4" width="34" hidden="0" customWidth="1"/>
    <x:col min="5" max="5" width="24" hidden="0" customWidth="1"/>
    <x:col min="6" max="6" width="50" hidden="0" customWidth="1"/>
    <x:col min="7" max="7" width="18" hidden="0" customWidth="1"/>
    <x:col min="8" max="8" width="42" hidden="0" customWidth="1"/>
  </x:cols>
  <x:sheetData>
    <x:row r="1">
      <x:c r="A1" s="52" t="str">
        <x:v>viewport</x:v>
      </x:c>
      <x:c r="B1" s="52" t="str">
        <x:v>route</x:v>
      </x:c>
      <x:c r="C1" s="52" t="str">
        <x:v>approved_reference</x:v>
      </x:c>
      <x:c r="D1" s="52" t="str">
        <x:v>actual_capture_path</x:v>
      </x:c>
      <x:c r="E1" s="52" t="str">
        <x:v>command_or_method</x:v>
      </x:c>
      <x:c r="F1" s="52" t="str">
        <x:v>required_checks</x:v>
      </x:c>
      <x:c r="G1" s="52" t="str">
        <x:v>status</x:v>
      </x:c>
      <x:c r="H1" s="52" t="str">
        <x:v>receipt_path</x:v>
      </x:c>
    </x:row>
    <x:row r="2">
      <x:c r="A2" s="41" t="str">
        <x:v>desktop_1440</x:v>
      </x:c>
      <x:c r="B2" s="41" t="str">
        <x:v>/</x:v>
      </x:c>
      <x:c r="C2" s="41" t="str">
        <x:v>approved/home-desktop.png</x:v>
      </x:c>
      <x:c r="D2" s="41" t="str">
        <x:v>receipts/screens/home-desktop.png</x:v>
      </x:c>
      <x:c r="E2" s="41" t="str">
        <x:v>Playwright screenshot</x:v>
      </x:c>
      <x:c r="F2" s="41" t="str">
        <x:v>hero layout, nav, CTA, form, above-fold spacing, color, typography</x:v>
      </x:c>
      <x:c r="G2" s="41" t="str">
        <x:v>required</x:v>
      </x:c>
      <x:c r="H2" s="41" t="str">
        <x:v>03_Bridge_Receipts/visual/home-desktop.md</x:v>
      </x:c>
    </x:row>
    <x:row r="3">
      <x:c r="A3" s="41" t="str">
        <x:v>tablet_768</x:v>
      </x:c>
      <x:c r="B3" s="41" t="str">
        <x:v>/</x:v>
      </x:c>
      <x:c r="C3" s="41" t="str">
        <x:v>approved/home-tablet.png</x:v>
      </x:c>
      <x:c r="D3" s="41" t="str">
        <x:v>receipts/screens/home-tablet.png</x:v>
      </x:c>
      <x:c r="E3" s="41" t="str">
        <x:v>Playwright screenshot</x:v>
      </x:c>
      <x:c r="F3" s="41" t="str">
        <x:v>section stacking, nav behavior, CTA visibility</x:v>
      </x:c>
      <x:c r="G3" s="41" t="str">
        <x:v>required</x:v>
      </x:c>
      <x:c r="H3" s="41" t="str">
        <x:v>03_Bridge_Receipts/visual/home-tablet.md</x:v>
      </x:c>
    </x:row>
    <x:row r="4">
      <x:c r="A4" s="41" t="str">
        <x:v>mobile_390</x:v>
      </x:c>
      <x:c r="B4" s="41" t="str">
        <x:v>/</x:v>
      </x:c>
      <x:c r="C4" s="41" t="str">
        <x:v>approved/home-mobile.png</x:v>
      </x:c>
      <x:c r="D4" s="41" t="str">
        <x:v>receipts/screens/home-mobile.png</x:v>
      </x:c>
      <x:c r="E4" s="41" t="str">
        <x:v>Playwright screenshot</x:v>
      </x:c>
      <x:c r="F4" s="41" t="str">
        <x:v>mobile hero, form usability, CTA visibility, spacing</x:v>
      </x:c>
      <x:c r="G4" s="41" t="str">
        <x:v>required</x:v>
      </x:c>
      <x:c r="H4" s="41" t="str">
        <x:v>03_Bridge_Receipts/visual/home-mobile.md</x:v>
      </x:c>
    </x:row>
    <x:row r="5">
      <x:c r="A5" s="41" t="str">
        <x:v>admin_desktop</x:v>
      </x:c>
      <x:c r="B5" s="41" t="str">
        <x:v>/admin</x:v>
      </x:c>
      <x:c r="C5" s="41" t="str">
        <x:v>approved/admin-desktop.png</x:v>
      </x:c>
      <x:c r="D5" s="41" t="str">
        <x:v>receipts/screens/admin-desktop.png</x:v>
      </x:c>
      <x:c r="E5" s="41" t="str">
        <x:v>Playwright screenshot</x:v>
      </x:c>
      <x:c r="F5" s="41" t="str">
        <x:v>cards, tables, sidebar, chat panel, action states</x:v>
      </x:c>
      <x:c r="G5" s="41" t="str">
        <x:v>if_applicable</x:v>
      </x:c>
      <x:c r="H5" s="41" t="str">
        <x:v>03_Bridge_Receipts/visual/admin-desktop.md</x:v>
      </x:c>
    </x:row>
    <x:row r="6">
      <x:c r="A6" s="41" t="str">
        <x:v>client_mobile</x:v>
      </x:c>
      <x:c r="B6" s="41" t="str">
        <x:v>/client</x:v>
      </x:c>
      <x:c r="C6" s="41" t="str">
        <x:v>approved/client-mobile.png</x:v>
      </x:c>
      <x:c r="D6" s="41" t="str">
        <x:v>receipts/screens/client-mobile.png</x:v>
      </x:c>
      <x:c r="E6" s="41" t="str">
        <x:v>Playwright screenshot</x:v>
      </x:c>
      <x:c r="F6" s="41" t="str">
        <x:v>progress cards, intake status, CTA, readability</x:v>
      </x:c>
      <x:c r="G6" s="41" t="str">
        <x:v>if_applicable</x:v>
      </x:c>
      <x:c r="H6" s="41" t="str">
        <x:v>03_Bridge_Receipts/visual/client-mobile.md</x:v>
      </x:c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6" hidden="0" customWidth="1"/>
    <x:col min="4" max="4" width="18" hidden="0" customWidth="1"/>
    <x:col min="5" max="5" width="38" hidden="0" customWidth="1"/>
    <x:col min="6" max="6" width="38" hidden="0" customWidth="1"/>
    <x:col min="7" max="7" width="40" hidden="0" customWidth="1"/>
    <x:col min="8" max="8" width="18" hidden="0" customWidth="1"/>
    <x:col min="9" max="9" width="54" hidden="0" customWidth="1"/>
    <x:col min="10" max="10" width="20" hidden="0" customWidth="1"/>
    <x:col min="11" max="11" width="42" hidden="0" customWidth="1"/>
  </x:cols>
  <x:sheetData>
    <x:row r="1">
      <x:c r="A1" s="52" t="str">
        <x:v>drift_id</x:v>
      </x:c>
      <x:c r="B1" s="52" t="str">
        <x:v>severity</x:v>
      </x:c>
      <x:c r="C1" s="52" t="str">
        <x:v>route</x:v>
      </x:c>
      <x:c r="D1" s="52" t="str">
        <x:v>viewport</x:v>
      </x:c>
      <x:c r="E1" s="52" t="str">
        <x:v>approved_state</x:v>
      </x:c>
      <x:c r="F1" s="52" t="str">
        <x:v>actual_state</x:v>
      </x:c>
      <x:c r="G1" s="52" t="str">
        <x:v>impact</x:v>
      </x:c>
      <x:c r="H1" s="52" t="str">
        <x:v>owner</x:v>
      </x:c>
      <x:c r="I1" s="52" t="str">
        <x:v>fix_instruction</x:v>
      </x:c>
      <x:c r="J1" s="52" t="str">
        <x:v>status</x:v>
      </x:c>
      <x:c r="K1" s="52" t="str">
        <x:v>receipt</x:v>
      </x:c>
    </x:row>
    <x:row r="2">
      <x:c r="A2" s="41" t="str">
        <x:v>VD-001</x:v>
      </x:c>
      <x:c r="B2" s="41" t="str">
        <x:v>P0</x:v>
      </x:c>
      <x:c r="C2" s="41" t="str">
        <x:v>/</x:v>
      </x:c>
      <x:c r="D2" s="41" t="str">
        <x:v>desktop_1440</x:v>
      </x:c>
      <x:c r="E2" s="41" t="str">
        <x:v>Approved hero layout and CTA placement</x:v>
      </x:c>
      <x:c r="F2" s="41" t="str">
        <x:v>TBD actual capture</x:v>
      </x:c>
      <x:c r="G2" s="41" t="str">
        <x:v>Release blocker if hero or primary CTA differs materially</x:v>
      </x:c>
      <x:c r="H2" s="41" t="str">
        <x:v>Codex/Base44</x:v>
      </x:c>
      <x:c r="I2" s="41" t="str">
        <x:v>Restore approved section order, spacing, typography, color, and CTA placement.</x:v>
      </x:c>
      <x:c r="J2" s="41" t="str">
        <x:v>open_until_checked</x:v>
      </x:c>
      <x:c r="K2" s="41" t="str">
        <x:v>03_Bridge_Receipts/visual/VD-001.md</x:v>
      </x:c>
    </x:row>
    <x:row r="3">
      <x:c r="A3" s="41" t="str">
        <x:v>VD-002</x:v>
      </x:c>
      <x:c r="B3" s="41" t="str">
        <x:v>P1</x:v>
      </x:c>
      <x:c r="C3" s="41" t="str">
        <x:v>/</x:v>
      </x:c>
      <x:c r="D3" s="41" t="str">
        <x:v>mobile_390</x:v>
      </x:c>
      <x:c r="E3" s="41" t="str">
        <x:v>Approved mobile stacking and CTA visibility</x:v>
      </x:c>
      <x:c r="F3" s="41" t="str">
        <x:v>TBD actual capture</x:v>
      </x:c>
      <x:c r="G3" s="41" t="str">
        <x:v>Blocks release unless operator accepts exception</x:v>
      </x:c>
      <x:c r="H3" s="41" t="str">
        <x:v>Codex/Base44</x:v>
      </x:c>
      <x:c r="I3" s="41" t="str">
        <x:v>Fix responsive layout and re-capture mobile screenshot.</x:v>
      </x:c>
      <x:c r="J3" s="41" t="str">
        <x:v>open_until_checked</x:v>
      </x:c>
      <x:c r="K3" s="41" t="str">
        <x:v>03_Bridge_Receipts/visual/VD-002.md</x:v>
      </x:c>
    </x:row>
    <x:row r="4">
      <x:c r="A4" s="41" t="str">
        <x:v>VD-003</x:v>
      </x:c>
      <x:c r="B4" s="41" t="str">
        <x:v>P2</x:v>
      </x:c>
      <x:c r="C4" s="41" t="str">
        <x:v>all</x:v>
      </x:c>
      <x:c r="D4" s="41" t="str">
        <x:v>all</x:v>
      </x:c>
      <x:c r="E4" s="41" t="str">
        <x:v>Approved brand polish</x:v>
      </x:c>
      <x:c r="F4" s="41" t="str">
        <x:v>TBD actual capture</x:v>
      </x:c>
      <x:c r="G4" s="41" t="str">
        <x:v>Can be accepted into backlog with operator signoff</x:v>
      </x:c>
      <x:c r="H4" s="41" t="str">
        <x:v>UI Agent</x:v>
      </x:c>
      <x:c r="I4" s="41" t="str">
        <x:v>Improve polish without changing source truth.</x:v>
      </x:c>
      <x:c r="J4" s="41" t="str">
        <x:v>pending_review</x:v>
      </x:c>
      <x:c r="K4" s="41" t="str">
        <x:v>03_Bridge_Receipts/visual/VD-003.md</x:v>
      </x:c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2" hidden="0" customWidth="1"/>
    <x:col min="3" max="3" width="42" hidden="0" customWidth="1"/>
    <x:col min="4" max="4" width="40" hidden="0" customWidth="1"/>
    <x:col min="5" max="5" width="12" hidden="0" customWidth="1"/>
    <x:col min="6" max="6" width="18" hidden="0" customWidth="1"/>
    <x:col min="7" max="7" width="44" hidden="0" customWidth="1"/>
  </x:cols>
  <x:sheetData>
    <x:row r="1">
      <x:c r="A1" s="52" t="str">
        <x:v>category</x:v>
      </x:c>
      <x:c r="B1" s="52" t="str">
        <x:v>weight</x:v>
      </x:c>
      <x:c r="C1" s="52" t="str">
        <x:v>pass_rule</x:v>
      </x:c>
      <x:c r="D1" s="52" t="str">
        <x:v>evidence_required</x:v>
      </x:c>
      <x:c r="E1" s="52" t="str">
        <x:v>score</x:v>
      </x:c>
      <x:c r="F1" s="52" t="str">
        <x:v>status</x:v>
      </x:c>
      <x:c r="G1" s="52" t="str">
        <x:v>notes</x:v>
      </x:c>
    </x:row>
    <x:row r="2">
      <x:c r="A2" s="41" t="str">
        <x:v>layout/section order</x:v>
      </x:c>
      <x:c r="B2" s="41" t="n">
        <x:v>20</x:v>
      </x:c>
      <x:c r="C2" s="41" t="str">
        <x:v>Matches approved mockup within accepted tolerance</x:v>
      </x:c>
      <x:c r="D2" s="41" t="str">
        <x:v>desktop/tablet/mobile screenshots</x:v>
      </x:c>
      <x:c r="E2" s="41" t="n">
        <x:v>0</x:v>
      </x:c>
      <x:c r="F2" s="41" t="str">
        <x:v>not_scored</x:v>
      </x:c>
      <x:c r="G2" s="41" t="str"/>
    </x:row>
    <x:row r="3">
      <x:c r="A3" s="41" t="str">
        <x:v>colors/brand</x:v>
      </x:c>
      <x:c r="B3" s="41" t="n">
        <x:v>15</x:v>
      </x:c>
      <x:c r="C3" s="41" t="str">
        <x:v>Uses approved palette and contrast</x:v>
      </x:c>
      <x:c r="D3" s="41" t="str">
        <x:v>screenshot + CSS/token check</x:v>
      </x:c>
      <x:c r="E3" s="41" t="n">
        <x:v>0</x:v>
      </x:c>
      <x:c r="F3" s="41" t="str">
        <x:v>not_scored</x:v>
      </x:c>
      <x:c r="G3" s="41" t="str"/>
    </x:row>
    <x:row r="4">
      <x:c r="A4" s="41" t="str">
        <x:v>typography</x:v>
      </x:c>
      <x:c r="B4" s="41" t="n">
        <x:v>10</x:v>
      </x:c>
      <x:c r="C4" s="41" t="str">
        <x:v>Type scale, weights, hierarchy match approved source</x:v>
      </x:c>
      <x:c r="D4" s="41" t="str">
        <x:v>screenshot + CSS/token check</x:v>
      </x:c>
      <x:c r="E4" s="41" t="n">
        <x:v>0</x:v>
      </x:c>
      <x:c r="F4" s="41" t="str">
        <x:v>not_scored</x:v>
      </x:c>
      <x:c r="G4" s="41" t="str"/>
    </x:row>
    <x:row r="5">
      <x:c r="A5" s="41" t="str">
        <x:v>spacing/alignment</x:v>
      </x:c>
      <x:c r="B5" s="41" t="n">
        <x:v>15</x:v>
      </x:c>
      <x:c r="C5" s="41" t="str">
        <x:v>No material margin, padding, grid, or alignment drift</x:v>
      </x:c>
      <x:c r="D5" s="41" t="str">
        <x:v>visual comparison notes</x:v>
      </x:c>
      <x:c r="E5" s="41" t="n">
        <x:v>0</x:v>
      </x:c>
      <x:c r="F5" s="41" t="str">
        <x:v>not_scored</x:v>
      </x:c>
      <x:c r="G5" s="41" t="str"/>
    </x:row>
    <x:row r="6">
      <x:c r="A6" s="41" t="str">
        <x:v>responsive behavior</x:v>
      </x:c>
      <x:c r="B6" s="41" t="n">
        <x:v>15</x:v>
      </x:c>
      <x:c r="C6" s="41" t="str">
        <x:v>Mobile/tablet/desktop states match approved behavior</x:v>
      </x:c>
      <x:c r="D6" s="41" t="str">
        <x:v>viewport captures</x:v>
      </x:c>
      <x:c r="E6" s="41" t="n">
        <x:v>0</x:v>
      </x:c>
      <x:c r="F6" s="41" t="str">
        <x:v>not_scored</x:v>
      </x:c>
      <x:c r="G6" s="41" t="str"/>
    </x:row>
    <x:row r="7">
      <x:c r="A7" s="41" t="str">
        <x:v>component states</x:v>
      </x:c>
      <x:c r="B7" s="41" t="n">
        <x:v>10</x:v>
      </x:c>
      <x:c r="C7" s="41" t="str">
        <x:v>Buttons, forms, modals, nav, cards match design system</x:v>
      </x:c>
      <x:c r="D7" s="41" t="str">
        <x:v>state screenshots</x:v>
      </x:c>
      <x:c r="E7" s="41" t="n">
        <x:v>0</x:v>
      </x:c>
      <x:c r="F7" s="41" t="str">
        <x:v>not_scored</x:v>
      </x:c>
      <x:c r="G7" s="41" t="str"/>
    </x:row>
    <x:row r="8">
      <x:c r="A8" s="41" t="str">
        <x:v>content fidelity</x:v>
      </x:c>
      <x:c r="B8" s="41" t="n">
        <x:v>10</x:v>
      </x:c>
      <x:c r="C8" s="41" t="str">
        <x:v>Headlines, CTA text, forms, disclaimers match approved content</x:v>
      </x:c>
      <x:c r="D8" s="41" t="str">
        <x:v>content diff receipt</x:v>
      </x:c>
      <x:c r="E8" s="41" t="n">
        <x:v>0</x:v>
      </x:c>
      <x:c r="F8" s="41" t="str">
        <x:v>not_scored</x:v>
      </x:c>
      <x:c r="G8" s="41" t="str"/>
    </x:row>
    <x:row r="9">
      <x:c r="A9" s="41" t="str">
        <x:v>accessibility/polish</x:v>
      </x:c>
      <x:c r="B9" s="41" t="n">
        <x:v>5</x:v>
      </x:c>
      <x:c r="C9" s="41" t="str">
        <x:v>Readable, contrast-safe, no obvious clipping/overflow</x:v>
      </x:c>
      <x:c r="D9" s="41" t="str">
        <x:v>a11y and screenshot receipt</x:v>
      </x:c>
      <x:c r="E9" s="41" t="n">
        <x:v>0</x:v>
      </x:c>
      <x:c r="F9" s="41" t="str">
        <x:v>not_scored</x:v>
      </x:c>
      <x:c r="G9" s="41" t="str"/>
    </x:row>
    <x:row r="10">
      <x:c r="A10" s="41" t="str">
        <x:v>TOTAL</x:v>
      </x:c>
      <x:c r="B10" s="41" t="n">
        <x:v>100</x:v>
      </x:c>
      <x:c r="C10" s="41" t="str">
        <x:v>Pass requires no open P0/P1 visual drift</x:v>
      </x:c>
      <x:c r="D10" s="41" t="str">
        <x:v>scorecard + drift ledger</x:v>
      </x:c>
      <x:c r="E10" s="41" t="n">
        <x:v>0</x:v>
      </x:c>
      <x:c r="F10" s="41" t="str">
        <x:v>not_scored</x:v>
      </x:c>
      <x:c r="G10" s="41" t="str">
        <x:v>Formula optional: sum scores after audit.</x:v>
      </x:c>
    </x:row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6" hidden="0" customWidth="1"/>
    <x:col min="3" max="3" width="36" hidden="0" customWidth="1"/>
    <x:col min="4" max="4" width="40" hidden="0" customWidth="1"/>
    <x:col min="5" max="5" width="60" hidden="0" customWidth="1"/>
    <x:col min="6" max="6" width="18" hidden="0" customWidth="1"/>
  </x:cols>
  <x:sheetData>
    <x:row r="1">
      <x:c r="A1" s="52" t="str">
        <x:v>receipt_id</x:v>
      </x:c>
      <x:c r="B1" s="52" t="str">
        <x:v>command</x:v>
      </x:c>
      <x:c r="C1" s="52" t="str">
        <x:v>expected_output</x:v>
      </x:c>
      <x:c r="D1" s="52" t="str">
        <x:v>artifact_path</x:v>
      </x:c>
      <x:c r="E1" s="52" t="str">
        <x:v>pass_condition</x:v>
      </x:c>
      <x:c r="F1" s="52" t="str">
        <x:v>status</x:v>
      </x:c>
    </x:row>
    <x:row r="2">
      <x:c r="A2" s="41" t="str">
        <x:v>PWR-VIS-001</x:v>
      </x:c>
      <x:c r="B2" s="41" t="str">
        <x:v>npx playwright test tests/visual/home.spec.ts</x:v>
      </x:c>
      <x:c r="C2" s="41" t="str">
        <x:v>desktop/tablet/mobile screenshots captured</x:v>
      </x:c>
      <x:c r="D2" s="41" t="str">
        <x:v>03_Bridge_Receipts/visual/screenshots/</x:v>
      </x:c>
      <x:c r="E2" s="41" t="str">
        <x:v>Screenshots exist and match approved source truth within operator-approved tolerance.</x:v>
      </x:c>
      <x:c r="F2" s="41" t="str">
        <x:v>pending</x:v>
      </x:c>
    </x:row>
    <x:row r="3">
      <x:c r="A3" s="41" t="str">
        <x:v>PWR-VIS-002</x:v>
      </x:c>
      <x:c r="B3" s="41" t="str">
        <x:v>npx playwright test tests/visual/admin.spec.ts</x:v>
      </x:c>
      <x:c r="C3" s="41" t="str">
        <x:v>admin UI screenshots captured</x:v>
      </x:c>
      <x:c r="D3" s="41" t="str">
        <x:v>03_Bridge_Receipts/visual/admin/</x:v>
      </x:c>
      <x:c r="E3" s="41" t="str">
        <x:v>Admin/dashboard routes render without visual drift or broken layout.</x:v>
      </x:c>
      <x:c r="F3" s="41" t="str">
        <x:v>if_applicable</x:v>
      </x:c>
    </x:row>
    <x:row r="4">
      <x:c r="A4" s="41" t="str">
        <x:v>PWR-VIS-003</x:v>
      </x:c>
      <x:c r="B4" s="41" t="str">
        <x:v>npx playwright test tests/visual/mobile.spec.ts</x:v>
      </x:c>
      <x:c r="C4" s="41" t="str">
        <x:v>mobile screenshots captured</x:v>
      </x:c>
      <x:c r="D4" s="41" t="str">
        <x:v>03_Bridge_Receipts/visual/mobile/</x:v>
      </x:c>
      <x:c r="E4" s="41" t="str">
        <x:v>Mobile CTA, nav, forms, content, and spacing pass.</x:v>
      </x:c>
      <x:c r="F4" s="41" t="str">
        <x:v>pending</x:v>
      </x:c>
    </x:row>
    <x:row r="5">
      <x:c r="A5" s="41" t="str">
        <x:v>PWR-VIS-004</x:v>
      </x:c>
      <x:c r="B5" s="41" t="str">
        <x:v>npm run visual:report</x:v>
      </x:c>
      <x:c r="C5" s="41" t="str">
        <x:v>visual receipt report generated</x:v>
      </x:c>
      <x:c r="D5" s="41" t="str">
        <x:v>03_Bridge_Receipts/visual/VISUAL_PARITY_REPORT.md</x:v>
      </x:c>
      <x:c r="E5" s="41" t="str">
        <x:v>Report lists pass/fail, drift ledger references, and next actions.</x:v>
      </x:c>
      <x:c r="F5" s="41" t="str">
        <x:v>pending</x:v>
      </x:c>
    </x:row>
  </x:sheetData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68" hidden="0" customWidth="1"/>
    <x:col min="3" max="3" width="54" hidden="0" customWidth="1"/>
    <x:col min="4" max="4" width="34" hidden="0" customWidth="1"/>
  </x:cols>
  <x:sheetData>
    <x:row r="1">
      <x:c r="A1" s="52" t="str">
        <x:v>step</x:v>
      </x:c>
      <x:c r="B1" s="52" t="str">
        <x:v>codex_instruction</x:v>
      </x:c>
      <x:c r="C1" s="52" t="str">
        <x:v>guardrail</x:v>
      </x:c>
      <x:c r="D1" s="52" t="str">
        <x:v>receipt</x:v>
      </x:c>
    </x:row>
    <x:row r="2">
      <x:c r="A2" s="41" t="str">
        <x:v>1</x:v>
      </x:c>
      <x:c r="B2" s="41" t="str">
        <x:v>Create branch codex/fix-visual-parity-drift.</x:v>
      </x:c>
      <x:c r="C2" s="41" t="str">
        <x:v>Do not push to main. Do not deploy production.</x:v>
      </x:c>
      <x:c r="D2" s="41" t="str">
        <x:v>branch receipt</x:v>
      </x:c>
    </x:row>
    <x:row r="3">
      <x:c r="A3" s="41" t="str">
        <x:v>2</x:v>
      </x:c>
      <x:c r="B3" s="41" t="str">
        <x:v>Read approved mockup truth and visual drift ledger before editing UI.</x:v>
      </x:c>
      <x:c r="C3" s="41" t="str">
        <x:v>Do not reinterpret design. Match approved source truth.</x:v>
      </x:c>
      <x:c r="D3" s="41" t="str">
        <x:v>source truth receipt</x:v>
      </x:c>
    </x:row>
    <x:row r="4">
      <x:c r="A4" s="41" t="str">
        <x:v>3</x:v>
      </x:c>
      <x:c r="B4" s="41" t="str">
        <x:v>Patch only UI files needed to close listed P0/P1 drift.</x:v>
      </x:c>
      <x:c r="C4" s="41" t="str">
        <x:v>Do not modify auth, secrets, billing, DB, or production settings without approval.</x:v>
      </x:c>
      <x:c r="D4" s="41" t="str">
        <x:v>diff receipt</x:v>
      </x:c>
    </x:row>
    <x:row r="5">
      <x:c r="A5" s="41" t="str">
        <x:v>4</x:v>
      </x:c>
      <x:c r="B5" s="41" t="str">
        <x:v>Run lint, build, route smoke, and Playwright visual screenshots.</x:v>
      </x:c>
      <x:c r="C5" s="41" t="str">
        <x:v>Do not mark complete without screenshots and scorecard update.</x:v>
      </x:c>
      <x:c r="D5" s="41" t="str">
        <x:v>validation receipt</x:v>
      </x:c>
    </x:row>
    <x:row r="6">
      <x:c r="A6" s="41" t="str">
        <x:v>5</x:v>
      </x:c>
      <x:c r="B6" s="41" t="str">
        <x:v>Return final output with VERIFIED, INFERRED, COULD NOT VERIFY, BLOCKERS, WORKAROUNDS, NEXT ACTIONS.</x:v>
      </x:c>
      <x:c r="C6" s="41" t="str">
        <x:v>No fake production readiness.</x:v>
      </x:c>
      <x:c r="D6" s="41" t="str">
        <x:v>final receipt</x:v>
      </x:c>
    </x:row>
  </x:sheetData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2" hidden="0" customWidth="1"/>
    <x:col min="3" max="3" width="34" hidden="0" customWidth="1"/>
  </x:cols>
  <x:sheetData>
    <x:row r="1">
      <x:c r="A1" s="52" t="str">
        <x:v>section</x:v>
      </x:c>
      <x:c r="B1" s="52" t="str">
        <x:v>instruction</x:v>
      </x:c>
      <x:c r="C1" s="52" t="str">
        <x:v>approval_gate</x:v>
      </x:c>
    </x:row>
    <x:row r="2">
      <x:c r="A2" s="41" t="str">
        <x:v>role</x:v>
      </x:c>
      <x:c r="B2" s="41" t="str">
        <x:v>Base44 acts as visual lock orchestrator for approved GPT/Figma/mockup source truth.</x:v>
      </x:c>
      <x:c r="C2" s="41" t="str">
        <x:v>operator approval required for visual changes</x:v>
      </x:c>
    </x:row>
    <x:row r="3">
      <x:c r="A3" s="41" t="str">
        <x:v>target</x:v>
      </x:c>
      <x:c r="B3" s="41" t="str">
        <x:v>Build or revise UI to match approved mockup, section order, copy, spacing, typography, colors, component states, and responsive behavior.</x:v>
      </x:c>
      <x:c r="C3" s="41" t="str">
        <x:v>no generic redesign</x:v>
      </x:c>
    </x:row>
    <x:row r="4">
      <x:c r="A4" s="41" t="str">
        <x:v>allowed actions</x:v>
      </x:c>
      <x:c r="B4" s="41" t="str">
        <x:v>Create drafts, preview pages, screenshot comparisons, revision prompts, visual QA notes, and Codex routing tasks.</x:v>
      </x:c>
      <x:c r="C4" s="41" t="str">
        <x:v>sandbox/preview only</x:v>
      </x:c>
    </x:row>
    <x:row r="5">
      <x:c r="A5" s="41" t="str">
        <x:v>blocked actions</x:v>
      </x:c>
      <x:c r="B5" s="41" t="str">
        <x:v>Do not publish live, change brand direction, alter core offer, change pricing, or bypass operator approval.</x:v>
      </x:c>
      <x:c r="C5" s="41" t="str">
        <x:v>approval required</x:v>
      </x:c>
    </x:row>
    <x:row r="6">
      <x:c r="A6" s="41" t="str">
        <x:v>routing</x:v>
      </x:c>
      <x:c r="B6" s="41" t="str">
        <x:v>Send code/UI drift fixes to Codex, design ambiguity to GPT/operator, production blockers to release gate.</x:v>
      </x:c>
      <x:c r="C6" s="41" t="str">
        <x:v>must leave receipt</x:v>
      </x:c>
    </x:row>
    <x:row r="7">
      <x:c r="A7" s="41" t="str">
        <x:v>final output</x:v>
      </x:c>
      <x:c r="B7" s="41" t="str">
        <x:v>Return visual parity status, drift ledger, screenshots, fixes completed, blockers, and next actions.</x:v>
      </x:c>
      <x:c r="C7" s="41" t="str">
        <x:v>required</x:v>
      </x:c>
    </x:row>
  </x:sheetData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62" hidden="0" customWidth="1"/>
    <x:col min="3" max="3" width="18" hidden="0" customWidth="1"/>
    <x:col min="4" max="4" width="52" hidden="0" customWidth="1"/>
  </x:cols>
  <x:sheetData>
    <x:row r="1">
      <x:c r="A1" s="52" t="str">
        <x:v>gate</x:v>
      </x:c>
      <x:c r="B1" s="52" t="str">
        <x:v>pass_condition</x:v>
      </x:c>
      <x:c r="C1" s="52" t="str">
        <x:v>blocks_release</x:v>
      </x:c>
      <x:c r="D1" s="52" t="str">
        <x:v>evidence</x:v>
      </x:c>
    </x:row>
    <x:row r="2">
      <x:c r="A2" s="41" t="str">
        <x:v>approved_source_truth_loaded</x:v>
      </x:c>
      <x:c r="B2" s="41" t="str">
        <x:v>Mockup/brand/content source truth recorded and approved.</x:v>
      </x:c>
      <x:c r="C2" s="41" t="str">
        <x:v>YES</x:v>
      </x:c>
      <x:c r="D2" s="41" t="str">
        <x:v>29_APPROVED_MOCKUP_TRUTH</x:v>
      </x:c>
    </x:row>
    <x:row r="3">
      <x:c r="A3" s="41" t="str">
        <x:v>screenshots_captured</x:v>
      </x:c>
      <x:c r="B3" s="41" t="str">
        <x:v>Required desktop/tablet/mobile screenshots captured.</x:v>
      </x:c>
      <x:c r="C3" s="41" t="str">
        <x:v>YES</x:v>
      </x:c>
      <x:c r="D3" s="41" t="str">
        <x:v>30_SCREENSHOT_CAPTURE_MATRIX + 33_PLAYWRIGHT_VISUAL_RECEIPTS</x:v>
      </x:c>
    </x:row>
    <x:row r="4">
      <x:c r="A4" s="41" t="str">
        <x:v>no_open_p0_p1_drift</x:v>
      </x:c>
      <x:c r="B4" s="41" t="str">
        <x:v>No unresolved P0/P1 visual drift remains.</x:v>
      </x:c>
      <x:c r="C4" s="41" t="str">
        <x:v>YES</x:v>
      </x:c>
      <x:c r="D4" s="41" t="str">
        <x:v>31_VISUAL_DRIFT_LEDGER</x:v>
      </x:c>
    </x:row>
    <x:row r="5">
      <x:c r="A5" s="41" t="str">
        <x:v>ui_scorecard_passed</x:v>
      </x:c>
      <x:c r="B5" s="41" t="str">
        <x:v>UI scorecard meets operator-approved threshold.</x:v>
      </x:c>
      <x:c r="C5" s="41" t="str">
        <x:v>YES</x:v>
      </x:c>
      <x:c r="D5" s="41" t="str">
        <x:v>32_UI_PARITY_SCORECARD</x:v>
      </x:c>
    </x:row>
    <x:row r="6">
      <x:c r="A6" s="41" t="str">
        <x:v>operator_visual_approval</x:v>
      </x:c>
      <x:c r="B6" s="41" t="str">
        <x:v>Operator approved visual output or accepted exceptions.</x:v>
      </x:c>
      <x:c r="C6" s="41" t="str">
        <x:v>YES</x:v>
      </x:c>
      <x:c r="D6" s="41" t="str">
        <x:v>approval receipt</x:v>
      </x:c>
    </x:row>
    <x:row r="7">
      <x:c r="A7" s="41" t="str">
        <x:v>production_still_locked</x:v>
      </x:c>
      <x:c r="B7" s="41" t="str">
        <x:v>Visual pass does not equal production-ready without external production proofs.</x:v>
      </x:c>
      <x:c r="C7" s="41" t="str">
        <x:v>YES</x:v>
      </x:c>
      <x:c r="D7" s="41" t="str">
        <x:v>21_RELEASE_GATE + 27_FINAL_OPERATOR_HANDOFF</x:v>
      </x:c>
    </x:row>
  </x:sheetData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62" hidden="0" customWidth="1"/>
    <x:col min="3" max="3" width="48" hidden="0" customWidth="1"/>
    <x:col min="4" max="4" width="20" hidden="0" customWidth="1"/>
    <x:col min="5" max="5" width="24" hidden="0" customWidth="1"/>
  </x:cols>
  <x:sheetData>
    <x:row r="1">
      <x:c r="A1" s="52" t="str">
        <x:v>scenario</x:v>
      </x:c>
      <x:c r="B1" s="52" t="str">
        <x:v>rollback_action</x:v>
      </x:c>
      <x:c r="C1" s="52" t="str">
        <x:v>receipt_required</x:v>
      </x:c>
      <x:c r="D1" s="52" t="str">
        <x:v>owner</x:v>
      </x:c>
      <x:c r="E1" s="52" t="str">
        <x:v>status</x:v>
      </x:c>
    </x:row>
    <x:row r="2">
      <x:c r="A2" s="41" t="str">
        <x:v>UI drift introduced after approved state</x:v>
      </x:c>
      <x:c r="B2" s="41" t="str">
        <x:v>Revert UI files to last approved visual commit or restore approved component snapshot.</x:v>
      </x:c>
      <x:c r="C2" s="41" t="str">
        <x:v>rollback diff + screenshot before/after</x:v>
      </x:c>
      <x:c r="D2" s="41" t="str">
        <x:v>Codex</x:v>
      </x:c>
      <x:c r="E2" s="41" t="str">
        <x:v>pending</x:v>
      </x:c>
    </x:row>
    <x:row r="3">
      <x:c r="A3" s="41" t="str">
        <x:v>Base44 generated generic design</x:v>
      </x:c>
      <x:c r="B3" s="41" t="str">
        <x:v>Reject output, reissue visual lock prompt, restore approved mockup constraints.</x:v>
      </x:c>
      <x:c r="C3" s="41" t="str">
        <x:v>Base44 rejection receipt</x:v>
      </x:c>
      <x:c r="D3" s="41" t="str">
        <x:v>Base44/GPT</x:v>
      </x:c>
      <x:c r="E3" s="41" t="str">
        <x:v>pending</x:v>
      </x:c>
    </x:row>
    <x:row r="4">
      <x:c r="A4" s="41" t="str">
        <x:v>Mobile layout breaks after desktop fix</x:v>
      </x:c>
      <x:c r="B4" s="41" t="str">
        <x:v>Revert responsive CSS or patch breakpoint-specific rules, then re-capture mobile.</x:v>
      </x:c>
      <x:c r="C4" s="41" t="str">
        <x:v>mobile screenshot receipt</x:v>
      </x:c>
      <x:c r="D4" s="41" t="str">
        <x:v>Codex</x:v>
      </x:c>
      <x:c r="E4" s="41" t="str">
        <x:v>pending</x:v>
      </x:c>
    </x:row>
    <x:row r="5">
      <x:c r="A5" s="41" t="str">
        <x:v>Production accidentally changed</x:v>
      </x:c>
      <x:c r="B5" s="41" t="str">
        <x:v>Stop release, rollback Vercel deployment, preserve logs, notify operator.</x:v>
      </x:c>
      <x:c r="C5" s="41" t="str">
        <x:v>Vercel rollback receipt + incident log</x:v>
      </x:c>
      <x:c r="D5" s="41" t="str">
        <x:v>Operator/Codex</x:v>
      </x:c>
      <x:c r="E5" s="41" t="str">
        <x:v>blocked_without_approval</x:v>
      </x:c>
    </x:row>
  </x:sheetData>
  <x:pageMargins left="0.7" right="0.7" top="0.75" bottom="0.75" header="0.3" footer="0.3"/>
</x:worksheet>
</file>